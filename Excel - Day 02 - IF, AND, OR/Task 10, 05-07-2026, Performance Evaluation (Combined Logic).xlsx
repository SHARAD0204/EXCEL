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AC88D8F3-AD38-4418-928E-1C6A80BACD85}" xr6:coauthVersionLast="47" xr6:coauthVersionMax="47" xr10:uidLastSave="{00000000-0000-0000-0000-000000000000}"/>
  <bookViews>
    <workbookView xWindow="-120" yWindow="-120" windowWidth="20730" windowHeight="11040" tabRatio="923" firstSheet="5" activeTab="10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  <sheet name="Discount Logic (OR)" sheetId="7" r:id="rId7"/>
    <sheet name="Loan Approval (OR)" sheetId="8" r:id="rId8"/>
    <sheet name="Attendance Status (NOT)" sheetId="9" r:id="rId9"/>
    <sheet name="Safe Division (IFERROR)" sheetId="10" r:id="rId10"/>
    <sheet name="Performance Evaluation (Combine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1" l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" i="1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3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<sst xmlns="http://schemas.openxmlformats.org/spreadsheetml/2006/main" count="329" uniqueCount="110">
  <si>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</si>
  <si>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</si>
  <si>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</si>
  <si>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</si>
  <si>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</si>
  <si>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</si>
  <si>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</si>
  <si>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</si>
  <si>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</si>
  <si>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</si>
  <si>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</si>
  <si>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</si>
  <si>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</si>
  <si>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</si>
  <si>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</si>
  <si>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</si>
  <si>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</si>
  <si>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</si>
  <si>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</si>
  <si>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</si>
  <si>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</si>
  <si>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</si>
  <si>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</si>
  <si>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</si>
  <si>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</si>
  <si>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</si>
  <si>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</si>
  <si>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</si>
  <si>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</si>
  <si>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</si>
  <si>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</si>
  <si>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</si>
  <si>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</si>
  <si>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</si>
  <si>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</si>
  <si>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</si>
  <si>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</si>
  <si>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</si>
  <si>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</si>
  <si>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</si>
  <si>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</si>
  <si>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</si>
  <si>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</si>
  <si>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</si>
  <si>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</si>
  <si>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</si>
  <si>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</si>
  <si>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</si>
  <si>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</si>
  <si>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</si>
  <si>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</si>
  <si>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</si>
  <si>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</si>
  <si>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</si>
  <si>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</si>
  <si>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</si>
  <si>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</si>
  <si>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</si>
  <si>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</si>
  <si>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</si>
  <si>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</si>
  <si>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</si>
  <si>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</si>
  <si>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</si>
  <si>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</si>
  <si>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</si>
  <si>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</si>
  <si>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</si>
  <si>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</si>
  <si>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</si>
  <si>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</si>
  <si>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</si>
  <si>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</si>
  <si>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</si>
  <si>
    <t>Discount Logic (OR)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</si>
  <si>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</si>
  <si>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</si>
  <si>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</si>
  <si>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</si>
  <si>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</si>
  <si>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</si>
  <si>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</si>
  <si>
    <t>Loan Approval (OR)</t>
  </si>
  <si>
    <t>Salary ≥ 40000 OR CIBIL ≥ 700</t>
  </si>
  <si>
    <t>Applicant</t>
  </si>
  <si>
    <t>CIBIL Score</t>
  </si>
  <si>
    <t>Loan Status</t>
  </si>
  <si>
    <t>Aditi</t>
  </si>
  <si>
    <t>Deepak</t>
  </si>
  <si>
    <t>Manish</t>
  </si>
  <si>
    <t>Shreya</t>
  </si>
  <si>
    <t>Varun</t>
  </si>
  <si>
    <t>Komal</t>
  </si>
  <si>
    <t>Attendance Status (NOT)</t>
  </si>
  <si>
    <t>If NOT Present → Absent</t>
  </si>
  <si>
    <t>Else → Present</t>
  </si>
  <si>
    <t>Present</t>
  </si>
  <si>
    <t>Status</t>
  </si>
  <si>
    <t>Harsh</t>
  </si>
  <si>
    <t>Safe Division (IFERROR)</t>
  </si>
  <si>
    <t>Divide Number 1 by Number 2</t>
  </si>
  <si>
    <t>If error → show "Invalid"</t>
  </si>
  <si>
    <t>Number 1</t>
  </si>
  <si>
    <t>Number 2</t>
  </si>
  <si>
    <t>Performance Evaluation (Combined Logic)</t>
  </si>
  <si>
    <t>Attendance ≥ 90 AND Targets ≥ 40 → Excellent</t>
  </si>
  <si>
    <t>Attendance ≥ 80 → Good</t>
  </si>
  <si>
    <t>Else → Needs Improvement</t>
  </si>
  <si>
    <t>Targets Achieved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</si>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</sst>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9" fontId="0" fillId="0" borderId="0" xfId="1" applyFont="1"/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6" t="s">
        <v>55</v>
      </c>
      <c r="B1" s="16"/>
      <c r="C1" s="16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6" t="s">
        <v>70</v>
      </c>
      <c r="B1" s="16"/>
      <c r="C1" s="16"/>
      <c r="D1" s="16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419B-B5F3-40BF-B6BE-41BE7173CE9E}">
  <dimension ref="A1:G22"/>
  <sheetViews>
    <sheetView workbookViewId="0">
      <selection activeCell="D3" sqref="D3:D22"/>
    </sheetView>
  </sheetViews>
  <sheetFormatPr defaultRowHeight="15" x14ac:dyDescent="0.25"/>
  <cols>
    <col min="1" max="1" width="18.28515625" bestFit="1" customWidth="1"/>
    <col min="2" max="2" width="20.28515625" customWidth="1"/>
    <col min="3" max="3" width="13.140625" customWidth="1"/>
    <col min="4" max="4" width="11.7109375" bestFit="1" customWidth="1"/>
    <col min="7" max="7" width="43.5703125" bestFit="1" customWidth="1"/>
  </cols>
  <sheetData>
    <row r="1" spans="1:7" ht="23.25" x14ac:dyDescent="0.35">
      <c r="A1" s="15" t="s">
        <v>74</v>
      </c>
      <c r="B1" s="15"/>
      <c r="C1" s="15"/>
      <c r="D1" s="15"/>
    </row>
    <row r="2" spans="1:7" ht="21" x14ac:dyDescent="0.25">
      <c r="A2" s="5" t="s">
        <v>76</v>
      </c>
      <c r="B2" s="5" t="s">
        <v>77</v>
      </c>
      <c r="C2" s="5" t="s">
        <v>78</v>
      </c>
      <c r="D2" s="5" t="s">
        <v>79</v>
      </c>
      <c r="G2" s="13" t="s">
        <v>32</v>
      </c>
    </row>
    <row r="3" spans="1:7" ht="17.25" x14ac:dyDescent="0.25">
      <c r="A3" s="3" t="s">
        <v>80</v>
      </c>
      <c r="B3" s="12">
        <v>9000</v>
      </c>
      <c r="C3" s="3" t="s">
        <v>69</v>
      </c>
      <c r="D3" s="3" t="str">
        <f>IF(OR(B3&gt;=10000,C3="Yes"),"Discount","No Discount")</f>
        <v>No Discount</v>
      </c>
      <c r="G3" s="6" t="s">
        <v>75</v>
      </c>
    </row>
    <row r="4" spans="1:7" x14ac:dyDescent="0.25">
      <c r="A4" s="3" t="s">
        <v>81</v>
      </c>
      <c r="B4" s="12">
        <v>12000</v>
      </c>
      <c r="C4" s="3" t="s">
        <v>69</v>
      </c>
      <c r="D4" s="3" t="str">
        <f t="shared" ref="D4:D22" si="0">IF(OR(B4&gt;=10000,C4="Yes"),"Discount","No Discount")</f>
        <v>Discount</v>
      </c>
    </row>
    <row r="5" spans="1:7" x14ac:dyDescent="0.25">
      <c r="A5" s="3" t="s">
        <v>18</v>
      </c>
      <c r="B5" s="12">
        <v>4000</v>
      </c>
      <c r="C5" s="3" t="s">
        <v>68</v>
      </c>
      <c r="D5" s="3" t="str">
        <f t="shared" si="0"/>
        <v>Discount</v>
      </c>
    </row>
    <row r="6" spans="1:7" x14ac:dyDescent="0.25">
      <c r="A6" s="3" t="s">
        <v>50</v>
      </c>
      <c r="B6" s="12">
        <v>3000</v>
      </c>
      <c r="C6" s="3" t="s">
        <v>69</v>
      </c>
      <c r="D6" s="3" t="str">
        <f t="shared" si="0"/>
        <v>No Discount</v>
      </c>
    </row>
    <row r="7" spans="1:7" x14ac:dyDescent="0.25">
      <c r="A7" s="3" t="s">
        <v>16</v>
      </c>
      <c r="B7" s="12">
        <v>15000</v>
      </c>
      <c r="C7" s="3" t="s">
        <v>68</v>
      </c>
      <c r="D7" s="3" t="str">
        <f t="shared" si="0"/>
        <v>Discount</v>
      </c>
    </row>
    <row r="8" spans="1:7" x14ac:dyDescent="0.25">
      <c r="A8" s="3" t="s">
        <v>44</v>
      </c>
      <c r="B8" s="12">
        <v>8000</v>
      </c>
      <c r="C8" s="3" t="s">
        <v>69</v>
      </c>
      <c r="D8" s="3" t="str">
        <f t="shared" si="0"/>
        <v>No Discount</v>
      </c>
    </row>
    <row r="9" spans="1:7" x14ac:dyDescent="0.25">
      <c r="A9" s="3" t="s">
        <v>22</v>
      </c>
      <c r="B9" s="12">
        <v>11000</v>
      </c>
      <c r="C9" s="3" t="s">
        <v>69</v>
      </c>
      <c r="D9" s="3" t="str">
        <f t="shared" si="0"/>
        <v>Discount</v>
      </c>
    </row>
    <row r="10" spans="1:7" x14ac:dyDescent="0.25">
      <c r="A10" s="3" t="s">
        <v>23</v>
      </c>
      <c r="B10" s="12">
        <v>6000</v>
      </c>
      <c r="C10" s="3" t="s">
        <v>68</v>
      </c>
      <c r="D10" s="3" t="str">
        <f t="shared" si="0"/>
        <v>Discount</v>
      </c>
    </row>
    <row r="11" spans="1:7" x14ac:dyDescent="0.25">
      <c r="A11" s="3" t="s">
        <v>26</v>
      </c>
      <c r="B11" s="12">
        <v>5000</v>
      </c>
      <c r="C11" s="3" t="s">
        <v>69</v>
      </c>
      <c r="D11" s="3" t="str">
        <f t="shared" si="0"/>
        <v>No Discount</v>
      </c>
    </row>
    <row r="12" spans="1:7" x14ac:dyDescent="0.25">
      <c r="A12" s="3" t="s">
        <v>27</v>
      </c>
      <c r="B12" s="12">
        <v>13000</v>
      </c>
      <c r="C12" s="3" t="s">
        <v>68</v>
      </c>
      <c r="D12" s="3" t="str">
        <f t="shared" si="0"/>
        <v>Discount</v>
      </c>
    </row>
    <row r="13" spans="1:7" x14ac:dyDescent="0.25">
      <c r="A13" s="3" t="s">
        <v>46</v>
      </c>
      <c r="B13" s="12">
        <v>7000</v>
      </c>
      <c r="C13" s="3" t="s">
        <v>69</v>
      </c>
      <c r="D13" s="3" t="str">
        <f t="shared" si="0"/>
        <v>No Discount</v>
      </c>
    </row>
    <row r="14" spans="1:7" x14ac:dyDescent="0.25">
      <c r="A14" s="3" t="s">
        <v>25</v>
      </c>
      <c r="B14" s="12">
        <v>10000</v>
      </c>
      <c r="C14" s="3" t="s">
        <v>68</v>
      </c>
      <c r="D14" s="3" t="str">
        <f t="shared" si="0"/>
        <v>Discount</v>
      </c>
    </row>
    <row r="15" spans="1:7" x14ac:dyDescent="0.25">
      <c r="A15" s="3" t="s">
        <v>51</v>
      </c>
      <c r="B15" s="12">
        <v>9500</v>
      </c>
      <c r="C15" s="3" t="s">
        <v>69</v>
      </c>
      <c r="D15" s="3" t="str">
        <f t="shared" si="0"/>
        <v>No Discount</v>
      </c>
    </row>
    <row r="16" spans="1:7" x14ac:dyDescent="0.25">
      <c r="A16" s="3" t="s">
        <v>4</v>
      </c>
      <c r="B16" s="12">
        <v>18000</v>
      </c>
      <c r="C16" s="3" t="s">
        <v>69</v>
      </c>
      <c r="D16" s="3" t="str">
        <f t="shared" si="0"/>
        <v>Discount</v>
      </c>
    </row>
    <row r="17" spans="1:4" x14ac:dyDescent="0.25">
      <c r="A17" s="3" t="s">
        <v>24</v>
      </c>
      <c r="B17" s="12">
        <v>4500</v>
      </c>
      <c r="C17" s="3" t="s">
        <v>68</v>
      </c>
      <c r="D17" s="3" t="str">
        <f t="shared" si="0"/>
        <v>Discount</v>
      </c>
    </row>
    <row r="18" spans="1:4" x14ac:dyDescent="0.25">
      <c r="A18" s="3" t="s">
        <v>21</v>
      </c>
      <c r="B18" s="12">
        <v>10500</v>
      </c>
      <c r="C18" s="3" t="s">
        <v>69</v>
      </c>
      <c r="D18" s="3" t="str">
        <f t="shared" si="0"/>
        <v>Discount</v>
      </c>
    </row>
    <row r="19" spans="1:4" x14ac:dyDescent="0.25">
      <c r="A19" s="3" t="s">
        <v>29</v>
      </c>
      <c r="B19" s="12">
        <v>2500</v>
      </c>
      <c r="C19" s="3" t="s">
        <v>69</v>
      </c>
      <c r="D19" s="3" t="str">
        <f t="shared" si="0"/>
        <v>No Discount</v>
      </c>
    </row>
    <row r="20" spans="1:4" x14ac:dyDescent="0.25">
      <c r="A20" s="3" t="s">
        <v>28</v>
      </c>
      <c r="B20" s="12">
        <v>14000</v>
      </c>
      <c r="C20" s="3" t="s">
        <v>68</v>
      </c>
      <c r="D20" s="3" t="str">
        <f t="shared" si="0"/>
        <v>Discount</v>
      </c>
    </row>
    <row r="21" spans="1:4" x14ac:dyDescent="0.25">
      <c r="A21" s="3" t="s">
        <v>45</v>
      </c>
      <c r="B21" s="12">
        <v>9800</v>
      </c>
      <c r="C21" s="3" t="s">
        <v>68</v>
      </c>
      <c r="D21" s="3" t="str">
        <f t="shared" si="0"/>
        <v>Discount</v>
      </c>
    </row>
    <row r="22" spans="1:4" x14ac:dyDescent="0.25">
      <c r="A22" s="3" t="s">
        <v>20</v>
      </c>
      <c r="B22" s="12">
        <v>3500</v>
      </c>
      <c r="C22" s="3" t="s">
        <v>69</v>
      </c>
      <c r="D22" s="3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60D3-D34A-4D74-93B4-21768334FDC9}">
  <dimension ref="A1:G32"/>
  <sheetViews>
    <sheetView workbookViewId="0">
      <selection activeCell="G6" sqref="G6"/>
    </sheetView>
  </sheetViews>
  <sheetFormatPr defaultRowHeight="15" x14ac:dyDescent="0.25"/>
  <cols>
    <col min="2" max="2" width="10.7109375" bestFit="1" customWidth="1"/>
    <col min="3" max="3" width="12.28515625" customWidth="1"/>
    <col min="4" max="4" width="17" customWidth="1"/>
    <col min="7" max="7" width="33.140625" bestFit="1" customWidth="1"/>
  </cols>
  <sheetData>
    <row r="1" spans="1:7" ht="23.25" x14ac:dyDescent="0.35">
      <c r="A1" s="16" t="s">
        <v>82</v>
      </c>
      <c r="B1" s="16"/>
      <c r="C1" s="16"/>
      <c r="D1" s="16"/>
    </row>
    <row r="2" spans="1:7" ht="30" x14ac:dyDescent="0.25">
      <c r="A2" s="5" t="s">
        <v>84</v>
      </c>
      <c r="B2" s="5" t="s">
        <v>37</v>
      </c>
      <c r="C2" s="5" t="s">
        <v>85</v>
      </c>
      <c r="D2" s="5" t="s">
        <v>86</v>
      </c>
      <c r="G2" s="13" t="s">
        <v>32</v>
      </c>
    </row>
    <row r="3" spans="1:7" ht="17.25" x14ac:dyDescent="0.25">
      <c r="A3" s="3" t="s">
        <v>39</v>
      </c>
      <c r="B3" s="12">
        <v>35000</v>
      </c>
      <c r="C3" s="3">
        <v>720</v>
      </c>
      <c r="D3" s="3" t="str">
        <f>IF(OR(B3&gt;=40000,C3&gt;=700),"Approved","Rejected")</f>
        <v>Approved</v>
      </c>
      <c r="G3" s="6" t="s">
        <v>83</v>
      </c>
    </row>
    <row r="4" spans="1:7" x14ac:dyDescent="0.25">
      <c r="A4" s="3" t="s">
        <v>40</v>
      </c>
      <c r="B4" s="12">
        <v>25000</v>
      </c>
      <c r="C4" s="3">
        <v>680</v>
      </c>
      <c r="D4" s="3" t="str">
        <f t="shared" ref="D4:D32" si="0">IF(OR(B4&gt;=40000,C4&gt;=700),"Approved","Rejected")</f>
        <v>Rejected</v>
      </c>
    </row>
    <row r="5" spans="1:7" x14ac:dyDescent="0.25">
      <c r="A5" s="3" t="s">
        <v>41</v>
      </c>
      <c r="B5" s="12">
        <v>50000</v>
      </c>
      <c r="C5" s="3">
        <v>650</v>
      </c>
      <c r="D5" s="3" t="str">
        <f t="shared" si="0"/>
        <v>Approved</v>
      </c>
    </row>
    <row r="6" spans="1:7" x14ac:dyDescent="0.25">
      <c r="A6" s="3" t="s">
        <v>42</v>
      </c>
      <c r="B6" s="12">
        <v>20000</v>
      </c>
      <c r="C6" s="3">
        <v>600</v>
      </c>
      <c r="D6" s="3" t="str">
        <f t="shared" si="0"/>
        <v>Rejected</v>
      </c>
    </row>
    <row r="7" spans="1:7" x14ac:dyDescent="0.25">
      <c r="A7" s="3" t="s">
        <v>16</v>
      </c>
      <c r="B7" s="12">
        <v>42000</v>
      </c>
      <c r="C7" s="3">
        <v>750</v>
      </c>
      <c r="D7" s="3" t="str">
        <f t="shared" si="0"/>
        <v>Approved</v>
      </c>
    </row>
    <row r="8" spans="1:7" x14ac:dyDescent="0.25">
      <c r="A8" s="3" t="s">
        <v>44</v>
      </c>
      <c r="B8" s="12">
        <v>38000</v>
      </c>
      <c r="C8" s="3">
        <v>710</v>
      </c>
      <c r="D8" s="3" t="str">
        <f t="shared" si="0"/>
        <v>Approved</v>
      </c>
    </row>
    <row r="9" spans="1:7" x14ac:dyDescent="0.25">
      <c r="A9" s="3" t="s">
        <v>22</v>
      </c>
      <c r="B9" s="12">
        <v>28000</v>
      </c>
      <c r="C9" s="3">
        <v>690</v>
      </c>
      <c r="D9" s="3" t="str">
        <f t="shared" si="0"/>
        <v>Rejected</v>
      </c>
    </row>
    <row r="10" spans="1:7" x14ac:dyDescent="0.25">
      <c r="A10" s="3" t="s">
        <v>23</v>
      </c>
      <c r="B10" s="12">
        <v>55000</v>
      </c>
      <c r="C10" s="3">
        <v>780</v>
      </c>
      <c r="D10" s="3" t="str">
        <f t="shared" si="0"/>
        <v>Approved</v>
      </c>
    </row>
    <row r="11" spans="1:7" x14ac:dyDescent="0.25">
      <c r="A11" s="3" t="s">
        <v>26</v>
      </c>
      <c r="B11" s="12">
        <v>32000</v>
      </c>
      <c r="C11" s="3">
        <v>700</v>
      </c>
      <c r="D11" s="3" t="str">
        <f t="shared" si="0"/>
        <v>Approved</v>
      </c>
    </row>
    <row r="12" spans="1:7" x14ac:dyDescent="0.25">
      <c r="A12" s="3" t="s">
        <v>27</v>
      </c>
      <c r="B12" s="12">
        <v>24000</v>
      </c>
      <c r="C12" s="3">
        <v>640</v>
      </c>
      <c r="D12" s="3" t="str">
        <f t="shared" si="0"/>
        <v>Rejected</v>
      </c>
    </row>
    <row r="13" spans="1:7" x14ac:dyDescent="0.25">
      <c r="A13" s="3" t="s">
        <v>46</v>
      </c>
      <c r="B13" s="12">
        <v>47000</v>
      </c>
      <c r="C13" s="3">
        <v>730</v>
      </c>
      <c r="D13" s="3" t="str">
        <f t="shared" si="0"/>
        <v>Approved</v>
      </c>
    </row>
    <row r="14" spans="1:7" x14ac:dyDescent="0.25">
      <c r="A14" s="3" t="s">
        <v>25</v>
      </c>
      <c r="B14" s="12">
        <v>30000</v>
      </c>
      <c r="C14" s="3">
        <v>675</v>
      </c>
      <c r="D14" s="3" t="str">
        <f t="shared" si="0"/>
        <v>Rejected</v>
      </c>
    </row>
    <row r="15" spans="1:7" x14ac:dyDescent="0.25">
      <c r="A15" s="3" t="s">
        <v>51</v>
      </c>
      <c r="B15" s="12">
        <v>60000</v>
      </c>
      <c r="C15" s="3">
        <v>790</v>
      </c>
      <c r="D15" s="3" t="str">
        <f t="shared" si="0"/>
        <v>Approved</v>
      </c>
    </row>
    <row r="16" spans="1:7" x14ac:dyDescent="0.25">
      <c r="A16" s="3" t="s">
        <v>4</v>
      </c>
      <c r="B16" s="12">
        <v>27000</v>
      </c>
      <c r="C16" s="3">
        <v>620</v>
      </c>
      <c r="D16" s="3" t="str">
        <f t="shared" si="0"/>
        <v>Rejected</v>
      </c>
    </row>
    <row r="17" spans="1:4" x14ac:dyDescent="0.25">
      <c r="A17" s="3" t="s">
        <v>24</v>
      </c>
      <c r="B17" s="12">
        <v>45000</v>
      </c>
      <c r="C17" s="3">
        <v>705</v>
      </c>
      <c r="D17" s="3" t="str">
        <f t="shared" si="0"/>
        <v>Approved</v>
      </c>
    </row>
    <row r="18" spans="1:4" x14ac:dyDescent="0.25">
      <c r="A18" s="3" t="s">
        <v>21</v>
      </c>
      <c r="B18" s="12">
        <v>36000</v>
      </c>
      <c r="C18" s="3">
        <v>715</v>
      </c>
      <c r="D18" s="3" t="str">
        <f t="shared" si="0"/>
        <v>Approved</v>
      </c>
    </row>
    <row r="19" spans="1:4" x14ac:dyDescent="0.25">
      <c r="A19" s="3" t="s">
        <v>29</v>
      </c>
      <c r="B19" s="12">
        <v>29000</v>
      </c>
      <c r="C19" s="3">
        <v>660</v>
      </c>
      <c r="D19" s="3" t="str">
        <f t="shared" si="0"/>
        <v>Rejected</v>
      </c>
    </row>
    <row r="20" spans="1:4" x14ac:dyDescent="0.25">
      <c r="A20" s="3" t="s">
        <v>28</v>
      </c>
      <c r="B20" s="12">
        <v>52000</v>
      </c>
      <c r="C20" s="3">
        <v>740</v>
      </c>
      <c r="D20" s="3" t="str">
        <f t="shared" si="0"/>
        <v>Approved</v>
      </c>
    </row>
    <row r="21" spans="1:4" x14ac:dyDescent="0.25">
      <c r="A21" s="3" t="s">
        <v>45</v>
      </c>
      <c r="B21" s="12">
        <v>31000</v>
      </c>
      <c r="C21" s="3">
        <v>695</v>
      </c>
      <c r="D21" s="3" t="str">
        <f t="shared" si="0"/>
        <v>Rejected</v>
      </c>
    </row>
    <row r="22" spans="1:4" x14ac:dyDescent="0.25">
      <c r="A22" s="3" t="s">
        <v>20</v>
      </c>
      <c r="B22" s="12">
        <v>48000</v>
      </c>
      <c r="C22" s="3">
        <v>725</v>
      </c>
      <c r="D22" s="3" t="str">
        <f t="shared" si="0"/>
        <v>Approved</v>
      </c>
    </row>
    <row r="23" spans="1:4" x14ac:dyDescent="0.25">
      <c r="A23" s="3" t="s">
        <v>61</v>
      </c>
      <c r="B23" s="12">
        <v>34000</v>
      </c>
      <c r="C23" s="3">
        <v>705</v>
      </c>
      <c r="D23" s="3" t="str">
        <f t="shared" si="0"/>
        <v>Approved</v>
      </c>
    </row>
    <row r="24" spans="1:4" x14ac:dyDescent="0.25">
      <c r="A24" s="3" t="s">
        <v>49</v>
      </c>
      <c r="B24" s="12">
        <v>26000</v>
      </c>
      <c r="C24" s="3">
        <v>630</v>
      </c>
      <c r="D24" s="3" t="str">
        <f t="shared" si="0"/>
        <v>Rejected</v>
      </c>
    </row>
    <row r="25" spans="1:4" x14ac:dyDescent="0.25">
      <c r="A25" s="3" t="s">
        <v>47</v>
      </c>
      <c r="B25" s="12">
        <v>58000</v>
      </c>
      <c r="C25" s="3">
        <v>760</v>
      </c>
      <c r="D25" s="3" t="str">
        <f t="shared" si="0"/>
        <v>Approved</v>
      </c>
    </row>
    <row r="26" spans="1:4" x14ac:dyDescent="0.25">
      <c r="A26" s="3" t="s">
        <v>87</v>
      </c>
      <c r="B26" s="12">
        <v>39000</v>
      </c>
      <c r="C26" s="3">
        <v>700</v>
      </c>
      <c r="D26" s="3" t="str">
        <f t="shared" si="0"/>
        <v>Approved</v>
      </c>
    </row>
    <row r="27" spans="1:4" x14ac:dyDescent="0.25">
      <c r="A27" s="3" t="s">
        <v>88</v>
      </c>
      <c r="B27" s="12">
        <v>23000</v>
      </c>
      <c r="C27" s="3">
        <v>610</v>
      </c>
      <c r="D27" s="3" t="str">
        <f t="shared" si="0"/>
        <v>Rejected</v>
      </c>
    </row>
    <row r="28" spans="1:4" x14ac:dyDescent="0.25">
      <c r="A28" s="3" t="s">
        <v>89</v>
      </c>
      <c r="B28" s="12">
        <v>41000</v>
      </c>
      <c r="C28" s="3">
        <v>735</v>
      </c>
      <c r="D28" s="3" t="str">
        <f t="shared" si="0"/>
        <v>Approved</v>
      </c>
    </row>
    <row r="29" spans="1:4" x14ac:dyDescent="0.25">
      <c r="A29" s="3" t="s">
        <v>90</v>
      </c>
      <c r="B29" s="12">
        <v>33000</v>
      </c>
      <c r="C29" s="3">
        <v>690</v>
      </c>
      <c r="D29" s="3" t="str">
        <f t="shared" si="0"/>
        <v>Rejected</v>
      </c>
    </row>
    <row r="30" spans="1:4" x14ac:dyDescent="0.25">
      <c r="A30" s="3" t="s">
        <v>91</v>
      </c>
      <c r="B30" s="12">
        <v>62000</v>
      </c>
      <c r="C30" s="3">
        <v>810</v>
      </c>
      <c r="D30" s="3" t="str">
        <f t="shared" si="0"/>
        <v>Approved</v>
      </c>
    </row>
    <row r="31" spans="1:4" x14ac:dyDescent="0.25">
      <c r="A31" s="3" t="s">
        <v>92</v>
      </c>
      <c r="B31" s="12">
        <v>28000</v>
      </c>
      <c r="C31" s="3">
        <v>650</v>
      </c>
      <c r="D31" s="3" t="str">
        <f t="shared" si="0"/>
        <v>Rejected</v>
      </c>
    </row>
    <row r="32" spans="1:4" x14ac:dyDescent="0.25">
      <c r="A32" s="3" t="s">
        <v>30</v>
      </c>
      <c r="B32" s="12">
        <v>46000</v>
      </c>
      <c r="C32" s="3">
        <v>720</v>
      </c>
      <c r="D32" s="3" t="str">
        <f t="shared" si="0"/>
        <v>Approved</v>
      </c>
    </row>
  </sheetData>
  <mergeCells count="1">
    <mergeCell ref="A1:D1"/>
  </mergeCells>
  <conditionalFormatting sqref="D1:D1048576">
    <cfRule type="cellIs" dxfId="1" priority="1" operator="equal">
      <formula>"Approved"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316E-4875-4703-B759-6A85D9723AD4}">
  <dimension ref="A1:G32"/>
  <sheetViews>
    <sheetView workbookViewId="0">
      <selection activeCell="E3" sqref="E3:E8"/>
    </sheetView>
  </sheetViews>
  <sheetFormatPr defaultRowHeight="15" x14ac:dyDescent="0.25"/>
  <cols>
    <col min="3" max="3" width="22.28515625" customWidth="1"/>
    <col min="7" max="7" width="26.140625" bestFit="1" customWidth="1"/>
  </cols>
  <sheetData>
    <row r="1" spans="1:7" ht="23.25" x14ac:dyDescent="0.35">
      <c r="A1" s="17" t="s">
        <v>93</v>
      </c>
      <c r="B1" s="17"/>
      <c r="C1" s="17"/>
    </row>
    <row r="2" spans="1:7" ht="21" x14ac:dyDescent="0.25">
      <c r="A2" s="5" t="s">
        <v>64</v>
      </c>
      <c r="B2" s="5" t="s">
        <v>96</v>
      </c>
      <c r="C2" s="5" t="s">
        <v>97</v>
      </c>
      <c r="G2" s="13" t="s">
        <v>32</v>
      </c>
    </row>
    <row r="3" spans="1:7" ht="17.25" x14ac:dyDescent="0.25">
      <c r="A3" s="3" t="s">
        <v>16</v>
      </c>
      <c r="B3" s="3" t="b">
        <v>1</v>
      </c>
      <c r="C3" s="3" t="str">
        <f>IF(NOT(B3),"Absent","Present")</f>
        <v>Present</v>
      </c>
      <c r="G3" s="6" t="s">
        <v>94</v>
      </c>
    </row>
    <row r="4" spans="1:7" ht="17.25" x14ac:dyDescent="0.25">
      <c r="A4" s="3" t="s">
        <v>17</v>
      </c>
      <c r="B4" s="3" t="b">
        <v>0</v>
      </c>
      <c r="C4" s="3" t="str">
        <f t="shared" ref="C4:C32" si="0">IF(NOT(B4),"Absent","Present")</f>
        <v>Absent</v>
      </c>
      <c r="G4" s="6" t="s">
        <v>95</v>
      </c>
    </row>
    <row r="5" spans="1:7" x14ac:dyDescent="0.25">
      <c r="A5" s="3" t="s">
        <v>18</v>
      </c>
      <c r="B5" s="3" t="b">
        <v>1</v>
      </c>
      <c r="C5" s="3" t="str">
        <f t="shared" si="0"/>
        <v>Present</v>
      </c>
    </row>
    <row r="6" spans="1:7" x14ac:dyDescent="0.25">
      <c r="A6" s="3" t="s">
        <v>19</v>
      </c>
      <c r="B6" s="3" t="b">
        <v>0</v>
      </c>
      <c r="C6" s="3" t="str">
        <f t="shared" si="0"/>
        <v>Absent</v>
      </c>
    </row>
    <row r="7" spans="1:7" x14ac:dyDescent="0.25">
      <c r="A7" s="3" t="s">
        <v>20</v>
      </c>
      <c r="B7" s="3" t="b">
        <v>1</v>
      </c>
      <c r="C7" s="3" t="str">
        <f t="shared" si="0"/>
        <v>Present</v>
      </c>
    </row>
    <row r="8" spans="1:7" x14ac:dyDescent="0.25">
      <c r="A8" s="3" t="s">
        <v>21</v>
      </c>
      <c r="B8" s="3" t="b">
        <v>1</v>
      </c>
      <c r="C8" s="3" t="str">
        <f t="shared" si="0"/>
        <v>Present</v>
      </c>
    </row>
    <row r="9" spans="1:7" x14ac:dyDescent="0.25">
      <c r="A9" s="3" t="s">
        <v>22</v>
      </c>
      <c r="B9" s="3" t="b">
        <v>0</v>
      </c>
      <c r="C9" s="3" t="str">
        <f t="shared" si="0"/>
        <v>Absent</v>
      </c>
    </row>
    <row r="10" spans="1:7" x14ac:dyDescent="0.25">
      <c r="A10" s="3" t="s">
        <v>23</v>
      </c>
      <c r="B10" s="3" t="b">
        <v>1</v>
      </c>
      <c r="C10" s="3" t="str">
        <f t="shared" si="0"/>
        <v>Present</v>
      </c>
    </row>
    <row r="11" spans="1:7" x14ac:dyDescent="0.25">
      <c r="A11" s="3" t="s">
        <v>24</v>
      </c>
      <c r="B11" s="3" t="b">
        <v>0</v>
      </c>
      <c r="C11" s="3" t="str">
        <f t="shared" si="0"/>
        <v>Absent</v>
      </c>
    </row>
    <row r="12" spans="1:7" x14ac:dyDescent="0.25">
      <c r="A12" s="3" t="s">
        <v>25</v>
      </c>
      <c r="B12" s="3" t="b">
        <v>1</v>
      </c>
      <c r="C12" s="3" t="str">
        <f t="shared" si="0"/>
        <v>Present</v>
      </c>
    </row>
    <row r="13" spans="1:7" x14ac:dyDescent="0.25">
      <c r="A13" s="3" t="s">
        <v>26</v>
      </c>
      <c r="B13" s="3" t="b">
        <v>1</v>
      </c>
      <c r="C13" s="3" t="str">
        <f t="shared" si="0"/>
        <v>Present</v>
      </c>
    </row>
    <row r="14" spans="1:7" x14ac:dyDescent="0.25">
      <c r="A14" s="3" t="s">
        <v>27</v>
      </c>
      <c r="B14" s="3" t="b">
        <v>0</v>
      </c>
      <c r="C14" s="3" t="str">
        <f t="shared" si="0"/>
        <v>Absent</v>
      </c>
    </row>
    <row r="15" spans="1:7" x14ac:dyDescent="0.25">
      <c r="A15" s="3" t="s">
        <v>46</v>
      </c>
      <c r="B15" s="3" t="b">
        <v>1</v>
      </c>
      <c r="C15" s="3" t="str">
        <f t="shared" si="0"/>
        <v>Present</v>
      </c>
    </row>
    <row r="16" spans="1:7" x14ac:dyDescent="0.25">
      <c r="A16" s="3" t="s">
        <v>4</v>
      </c>
      <c r="B16" s="3" t="b">
        <v>1</v>
      </c>
      <c r="C16" s="3" t="str">
        <f t="shared" si="0"/>
        <v>Present</v>
      </c>
    </row>
    <row r="17" spans="1:3" x14ac:dyDescent="0.25">
      <c r="A17" s="3" t="s">
        <v>51</v>
      </c>
      <c r="B17" s="3" t="b">
        <v>0</v>
      </c>
      <c r="C17" s="3" t="str">
        <f t="shared" si="0"/>
        <v>Absent</v>
      </c>
    </row>
    <row r="18" spans="1:3" x14ac:dyDescent="0.25">
      <c r="A18" s="3" t="s">
        <v>45</v>
      </c>
      <c r="B18" s="3" t="b">
        <v>1</v>
      </c>
      <c r="C18" s="3" t="str">
        <f t="shared" si="0"/>
        <v>Present</v>
      </c>
    </row>
    <row r="19" spans="1:3" x14ac:dyDescent="0.25">
      <c r="A19" s="3" t="s">
        <v>29</v>
      </c>
      <c r="B19" s="3" t="b">
        <v>0</v>
      </c>
      <c r="C19" s="3" t="str">
        <f t="shared" si="0"/>
        <v>Absent</v>
      </c>
    </row>
    <row r="20" spans="1:3" x14ac:dyDescent="0.25">
      <c r="A20" s="3" t="s">
        <v>28</v>
      </c>
      <c r="B20" s="3" t="b">
        <v>1</v>
      </c>
      <c r="C20" s="3" t="str">
        <f t="shared" si="0"/>
        <v>Present</v>
      </c>
    </row>
    <row r="21" spans="1:3" x14ac:dyDescent="0.25">
      <c r="A21" s="3" t="s">
        <v>30</v>
      </c>
      <c r="B21" s="3" t="b">
        <v>1</v>
      </c>
      <c r="C21" s="3" t="str">
        <f t="shared" si="0"/>
        <v>Present</v>
      </c>
    </row>
    <row r="22" spans="1:3" x14ac:dyDescent="0.25">
      <c r="A22" s="3" t="s">
        <v>61</v>
      </c>
      <c r="B22" s="3" t="b">
        <v>0</v>
      </c>
      <c r="C22" s="3" t="str">
        <f t="shared" si="0"/>
        <v>Absent</v>
      </c>
    </row>
    <row r="23" spans="1:3" x14ac:dyDescent="0.25">
      <c r="A23" s="3" t="s">
        <v>49</v>
      </c>
      <c r="B23" s="3" t="b">
        <v>1</v>
      </c>
      <c r="C23" s="3" t="str">
        <f t="shared" si="0"/>
        <v>Present</v>
      </c>
    </row>
    <row r="24" spans="1:3" x14ac:dyDescent="0.25">
      <c r="A24" s="3" t="s">
        <v>47</v>
      </c>
      <c r="B24" s="3" t="b">
        <v>0</v>
      </c>
      <c r="C24" s="3" t="str">
        <f t="shared" si="0"/>
        <v>Absent</v>
      </c>
    </row>
    <row r="25" spans="1:3" x14ac:dyDescent="0.25">
      <c r="A25" s="3" t="s">
        <v>44</v>
      </c>
      <c r="B25" s="3" t="b">
        <v>1</v>
      </c>
      <c r="C25" s="3" t="str">
        <f t="shared" si="0"/>
        <v>Present</v>
      </c>
    </row>
    <row r="26" spans="1:3" x14ac:dyDescent="0.25">
      <c r="A26" s="3" t="s">
        <v>87</v>
      </c>
      <c r="B26" s="3" t="b">
        <v>1</v>
      </c>
      <c r="C26" s="3" t="str">
        <f t="shared" si="0"/>
        <v>Present</v>
      </c>
    </row>
    <row r="27" spans="1:3" x14ac:dyDescent="0.25">
      <c r="A27" s="3" t="s">
        <v>89</v>
      </c>
      <c r="B27" s="3" t="b">
        <v>0</v>
      </c>
      <c r="C27" s="3" t="str">
        <f t="shared" si="0"/>
        <v>Absent</v>
      </c>
    </row>
    <row r="28" spans="1:3" x14ac:dyDescent="0.25">
      <c r="A28" s="3" t="s">
        <v>90</v>
      </c>
      <c r="B28" s="3" t="b">
        <v>1</v>
      </c>
      <c r="C28" s="3" t="str">
        <f t="shared" si="0"/>
        <v>Present</v>
      </c>
    </row>
    <row r="29" spans="1:3" x14ac:dyDescent="0.25">
      <c r="A29" s="3" t="s">
        <v>91</v>
      </c>
      <c r="B29" s="3" t="b">
        <v>0</v>
      </c>
      <c r="C29" s="3" t="str">
        <f t="shared" si="0"/>
        <v>Absent</v>
      </c>
    </row>
    <row r="30" spans="1:3" x14ac:dyDescent="0.25">
      <c r="A30" s="3" t="s">
        <v>92</v>
      </c>
      <c r="B30" s="3" t="b">
        <v>1</v>
      </c>
      <c r="C30" s="3" t="str">
        <f t="shared" si="0"/>
        <v>Present</v>
      </c>
    </row>
    <row r="31" spans="1:3" x14ac:dyDescent="0.25">
      <c r="A31" s="3" t="s">
        <v>50</v>
      </c>
      <c r="B31" s="3" t="b">
        <v>1</v>
      </c>
      <c r="C31" s="3" t="str">
        <f t="shared" si="0"/>
        <v>Present</v>
      </c>
    </row>
    <row r="32" spans="1:3" x14ac:dyDescent="0.25">
      <c r="A32" s="3" t="s">
        <v>98</v>
      </c>
      <c r="B32" s="3" t="b">
        <v>0</v>
      </c>
      <c r="C32" s="3" t="str">
        <f t="shared" si="0"/>
        <v>Absent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1CC5-F132-48F9-970A-81252DE00446}">
  <dimension ref="A1:F22"/>
  <sheetViews>
    <sheetView workbookViewId="0">
      <selection activeCell="C6" sqref="C6"/>
    </sheetView>
  </sheetViews>
  <sheetFormatPr defaultRowHeight="15" x14ac:dyDescent="0.25"/>
  <cols>
    <col min="1" max="1" width="22.140625" bestFit="1" customWidth="1"/>
    <col min="2" max="2" width="12.5703125" customWidth="1"/>
    <col min="3" max="3" width="22" customWidth="1"/>
    <col min="6" max="6" width="32.7109375" bestFit="1" customWidth="1"/>
  </cols>
  <sheetData>
    <row r="1" spans="1:6" ht="23.25" x14ac:dyDescent="0.35">
      <c r="A1" s="17" t="s">
        <v>99</v>
      </c>
      <c r="B1" s="17"/>
      <c r="C1" s="17"/>
    </row>
    <row r="2" spans="1:6" ht="21" x14ac:dyDescent="0.25">
      <c r="A2" s="5" t="s">
        <v>102</v>
      </c>
      <c r="B2" s="5" t="s">
        <v>103</v>
      </c>
      <c r="C2" s="5" t="s">
        <v>15</v>
      </c>
      <c r="F2" s="13" t="s">
        <v>32</v>
      </c>
    </row>
    <row r="3" spans="1:6" ht="17.25" x14ac:dyDescent="0.25">
      <c r="A3" s="3">
        <v>10</v>
      </c>
      <c r="B3" s="3">
        <v>2</v>
      </c>
      <c r="C3" s="3">
        <f>IFERROR(A3/B3,"Invalid")</f>
        <v>5</v>
      </c>
      <c r="F3" s="6" t="s">
        <v>100</v>
      </c>
    </row>
    <row r="4" spans="1:6" ht="17.25" x14ac:dyDescent="0.25">
      <c r="A4" s="3">
        <v>15</v>
      </c>
      <c r="B4" s="3">
        <v>0</v>
      </c>
      <c r="C4" s="3" t="str">
        <f t="shared" ref="C4:C22" si="0">IFERROR(A4/B4,"Invalid")</f>
        <v>Invalid</v>
      </c>
      <c r="F4" s="6" t="s">
        <v>101</v>
      </c>
    </row>
    <row r="5" spans="1:6" x14ac:dyDescent="0.25">
      <c r="A5" s="3">
        <v>20</v>
      </c>
      <c r="B5" s="3">
        <v>5</v>
      </c>
      <c r="C5" s="3">
        <f t="shared" si="0"/>
        <v>4</v>
      </c>
    </row>
    <row r="6" spans="1:6" x14ac:dyDescent="0.25">
      <c r="A6" s="3">
        <v>8</v>
      </c>
      <c r="B6" s="3">
        <v>0</v>
      </c>
      <c r="C6" s="3" t="str">
        <f t="shared" si="0"/>
        <v>Invalid</v>
      </c>
    </row>
    <row r="7" spans="1:6" x14ac:dyDescent="0.25">
      <c r="A7" s="3">
        <v>18</v>
      </c>
      <c r="B7" s="3">
        <v>3</v>
      </c>
      <c r="C7" s="3">
        <f t="shared" si="0"/>
        <v>6</v>
      </c>
    </row>
    <row r="8" spans="1:6" x14ac:dyDescent="0.25">
      <c r="A8" s="3">
        <v>24</v>
      </c>
      <c r="B8" s="3">
        <v>6</v>
      </c>
      <c r="C8" s="3">
        <f t="shared" si="0"/>
        <v>4</v>
      </c>
    </row>
    <row r="9" spans="1:6" x14ac:dyDescent="0.25">
      <c r="A9" s="3">
        <v>35</v>
      </c>
      <c r="B9" s="3">
        <v>7</v>
      </c>
      <c r="C9" s="3">
        <f t="shared" si="0"/>
        <v>5</v>
      </c>
    </row>
    <row r="10" spans="1:6" x14ac:dyDescent="0.25">
      <c r="A10" s="3">
        <v>40</v>
      </c>
      <c r="B10" s="3">
        <v>8</v>
      </c>
      <c r="C10" s="3">
        <f t="shared" si="0"/>
        <v>5</v>
      </c>
    </row>
    <row r="11" spans="1:6" x14ac:dyDescent="0.25">
      <c r="A11" s="3">
        <v>27</v>
      </c>
      <c r="B11" s="3">
        <v>9</v>
      </c>
      <c r="C11" s="3">
        <f t="shared" si="0"/>
        <v>3</v>
      </c>
    </row>
    <row r="12" spans="1:6" x14ac:dyDescent="0.25">
      <c r="A12" s="3">
        <v>50</v>
      </c>
      <c r="B12" s="3">
        <v>10</v>
      </c>
      <c r="C12" s="3">
        <f t="shared" si="0"/>
        <v>5</v>
      </c>
    </row>
    <row r="13" spans="1:6" x14ac:dyDescent="0.25">
      <c r="A13" s="3">
        <v>16</v>
      </c>
      <c r="B13" s="3">
        <v>4</v>
      </c>
      <c r="C13" s="3">
        <f t="shared" si="0"/>
        <v>4</v>
      </c>
    </row>
    <row r="14" spans="1:6" x14ac:dyDescent="0.25">
      <c r="A14" s="3">
        <v>81</v>
      </c>
      <c r="B14" s="3">
        <v>9</v>
      </c>
      <c r="C14" s="3">
        <f t="shared" si="0"/>
        <v>9</v>
      </c>
    </row>
    <row r="15" spans="1:6" x14ac:dyDescent="0.25">
      <c r="A15" s="3">
        <v>14</v>
      </c>
      <c r="B15" s="3">
        <v>2</v>
      </c>
      <c r="C15" s="3">
        <f t="shared" si="0"/>
        <v>7</v>
      </c>
    </row>
    <row r="16" spans="1:6" x14ac:dyDescent="0.25">
      <c r="A16" s="3">
        <v>45</v>
      </c>
      <c r="B16" s="3">
        <v>5</v>
      </c>
      <c r="C16" s="3">
        <f t="shared" si="0"/>
        <v>9</v>
      </c>
    </row>
    <row r="17" spans="1:3" x14ac:dyDescent="0.25">
      <c r="A17" s="3">
        <v>72</v>
      </c>
      <c r="B17" s="3">
        <v>12</v>
      </c>
      <c r="C17" s="3">
        <f t="shared" si="0"/>
        <v>6</v>
      </c>
    </row>
    <row r="18" spans="1:3" x14ac:dyDescent="0.25">
      <c r="A18" s="3">
        <v>64</v>
      </c>
      <c r="B18" s="3">
        <v>8</v>
      </c>
      <c r="C18" s="3">
        <f t="shared" si="0"/>
        <v>8</v>
      </c>
    </row>
    <row r="19" spans="1:3" x14ac:dyDescent="0.25">
      <c r="A19" s="3">
        <v>90</v>
      </c>
      <c r="B19" s="3">
        <v>15</v>
      </c>
      <c r="C19" s="3">
        <f t="shared" si="0"/>
        <v>6</v>
      </c>
    </row>
    <row r="20" spans="1:3" x14ac:dyDescent="0.25">
      <c r="A20" s="3">
        <v>99</v>
      </c>
      <c r="B20" s="3">
        <v>11</v>
      </c>
      <c r="C20" s="3">
        <f t="shared" si="0"/>
        <v>9</v>
      </c>
    </row>
    <row r="21" spans="1:3" x14ac:dyDescent="0.25">
      <c r="A21" s="3">
        <v>12</v>
      </c>
      <c r="B21" s="3">
        <v>3</v>
      </c>
      <c r="C21" s="3">
        <f t="shared" si="0"/>
        <v>4</v>
      </c>
    </row>
    <row r="22" spans="1:3" x14ac:dyDescent="0.25">
      <c r="A22" s="3">
        <v>30</v>
      </c>
      <c r="B22" s="3">
        <v>0</v>
      </c>
      <c r="C22" s="3" t="str">
        <f t="shared" si="0"/>
        <v>Invalid</v>
      </c>
    </row>
  </sheetData>
  <mergeCells count="1">
    <mergeCell ref="A1:C1"/>
  </mergeCells>
  <conditionalFormatting sqref="C1:C1048576">
    <cfRule type="cellIs" dxfId="0" priority="1" operator="equal">
      <formula>"Invalid"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5B4D-D3E0-4F1C-9ED3-266CCBA6489D}">
  <dimension ref="A1:G32"/>
  <sheetViews>
    <sheetView tabSelected="1" workbookViewId="0">
      <selection sqref="A1:D32"/>
    </sheetView>
  </sheetViews>
  <sheetFormatPr defaultRowHeight="15" x14ac:dyDescent="0.25"/>
  <cols>
    <col min="1" max="1" width="39" bestFit="1" customWidth="1"/>
    <col min="2" max="2" width="16.28515625" customWidth="1"/>
    <col min="3" max="3" width="13.28515625" customWidth="1"/>
    <col min="4" max="4" width="12.7109375" customWidth="1"/>
    <col min="7" max="7" width="48.85546875" bestFit="1" customWidth="1"/>
  </cols>
  <sheetData>
    <row r="1" spans="1:7" ht="23.25" x14ac:dyDescent="0.35">
      <c r="A1" s="17" t="s">
        <v>104</v>
      </c>
      <c r="B1" s="17"/>
      <c r="C1" s="17"/>
      <c r="D1" s="17"/>
    </row>
    <row r="2" spans="1:7" ht="30" x14ac:dyDescent="0.25">
      <c r="A2" s="5" t="s">
        <v>36</v>
      </c>
      <c r="B2" s="19" t="s">
        <v>108</v>
      </c>
      <c r="C2" s="19" t="s">
        <v>72</v>
      </c>
      <c r="D2" s="5" t="s">
        <v>8</v>
      </c>
      <c r="G2" s="13" t="s">
        <v>32</v>
      </c>
    </row>
    <row r="3" spans="1:7" ht="17.25" x14ac:dyDescent="0.25">
      <c r="A3" s="3" t="s">
        <v>109</v>
      </c>
      <c r="B3" s="20">
        <v>45</v>
      </c>
      <c r="C3" s="20">
        <v>92</v>
      </c>
      <c r="D3" s="3" t="str">
        <f>IF(AND(C3&gt;=90,B3&gt;=40),"Excellent",IF(C3&gt;=80,"Good","NI"))</f>
        <v>Excellent</v>
      </c>
      <c r="E3" s="18"/>
      <c r="G3" s="6" t="s">
        <v>105</v>
      </c>
    </row>
    <row r="4" spans="1:7" ht="17.25" x14ac:dyDescent="0.25">
      <c r="A4" s="3" t="s">
        <v>2</v>
      </c>
      <c r="B4" s="20">
        <v>38</v>
      </c>
      <c r="C4" s="20">
        <v>85</v>
      </c>
      <c r="D4" s="3" t="str">
        <f t="shared" ref="D4:D32" si="0">IF(AND(C4&gt;=90,B4&gt;=40),"Excellent",IF(C4&gt;=80,"Good","NI"))</f>
        <v>Good</v>
      </c>
      <c r="E4" s="18"/>
      <c r="G4" s="6" t="s">
        <v>106</v>
      </c>
    </row>
    <row r="5" spans="1:7" ht="17.25" x14ac:dyDescent="0.25">
      <c r="A5" s="3" t="s">
        <v>3</v>
      </c>
      <c r="B5" s="20">
        <v>50</v>
      </c>
      <c r="C5" s="20">
        <v>95</v>
      </c>
      <c r="D5" s="3" t="str">
        <f t="shared" si="0"/>
        <v>Excellent</v>
      </c>
      <c r="E5" s="18"/>
      <c r="G5" s="6" t="s">
        <v>107</v>
      </c>
    </row>
    <row r="6" spans="1:7" x14ac:dyDescent="0.25">
      <c r="A6" s="3" t="s">
        <v>4</v>
      </c>
      <c r="B6" s="20">
        <v>30</v>
      </c>
      <c r="C6" s="20">
        <v>70</v>
      </c>
      <c r="D6" s="3" t="str">
        <f t="shared" si="0"/>
        <v>NI</v>
      </c>
      <c r="E6" s="18"/>
    </row>
    <row r="7" spans="1:7" x14ac:dyDescent="0.25">
      <c r="A7" s="3" t="s">
        <v>43</v>
      </c>
      <c r="B7" s="20">
        <v>42</v>
      </c>
      <c r="C7" s="20">
        <v>90</v>
      </c>
      <c r="D7" s="3" t="str">
        <f t="shared" si="0"/>
        <v>Excellent</v>
      </c>
      <c r="E7" s="18"/>
    </row>
    <row r="8" spans="1:7" x14ac:dyDescent="0.25">
      <c r="A8" s="3" t="s">
        <v>44</v>
      </c>
      <c r="B8" s="20">
        <v>36</v>
      </c>
      <c r="C8" s="20">
        <v>88</v>
      </c>
      <c r="D8" s="3" t="str">
        <f t="shared" si="0"/>
        <v>Good</v>
      </c>
      <c r="E8" s="18"/>
    </row>
    <row r="9" spans="1:7" x14ac:dyDescent="0.25">
      <c r="A9" s="3" t="s">
        <v>47</v>
      </c>
      <c r="B9" s="20">
        <v>28</v>
      </c>
      <c r="C9" s="20">
        <v>75</v>
      </c>
      <c r="D9" s="3" t="str">
        <f t="shared" si="0"/>
        <v>NI</v>
      </c>
      <c r="E9" s="18"/>
    </row>
    <row r="10" spans="1:7" x14ac:dyDescent="0.25">
      <c r="A10" s="3" t="s">
        <v>45</v>
      </c>
      <c r="B10" s="20">
        <v>47</v>
      </c>
      <c r="C10" s="20">
        <v>94</v>
      </c>
      <c r="D10" s="3" t="str">
        <f t="shared" si="0"/>
        <v>Excellent</v>
      </c>
      <c r="E10" s="18"/>
    </row>
    <row r="11" spans="1:7" x14ac:dyDescent="0.25">
      <c r="A11" s="3" t="s">
        <v>46</v>
      </c>
      <c r="B11" s="20">
        <v>40</v>
      </c>
      <c r="C11" s="20">
        <v>89</v>
      </c>
      <c r="D11" s="3" t="str">
        <f t="shared" si="0"/>
        <v>Good</v>
      </c>
      <c r="E11" s="18"/>
    </row>
    <row r="12" spans="1:7" x14ac:dyDescent="0.25">
      <c r="A12" s="3" t="s">
        <v>25</v>
      </c>
      <c r="B12" s="20">
        <v>33</v>
      </c>
      <c r="C12" s="20">
        <v>82</v>
      </c>
      <c r="D12" s="3" t="str">
        <f t="shared" si="0"/>
        <v>Good</v>
      </c>
      <c r="E12" s="18"/>
    </row>
    <row r="13" spans="1:7" x14ac:dyDescent="0.25">
      <c r="A13" s="3" t="s">
        <v>41</v>
      </c>
      <c r="B13" s="20">
        <v>26</v>
      </c>
      <c r="C13" s="20">
        <v>68</v>
      </c>
      <c r="D13" s="3" t="str">
        <f t="shared" si="0"/>
        <v>NI</v>
      </c>
      <c r="E13" s="18"/>
    </row>
    <row r="14" spans="1:7" x14ac:dyDescent="0.25">
      <c r="A14" s="3" t="s">
        <v>27</v>
      </c>
      <c r="B14" s="20">
        <v>51</v>
      </c>
      <c r="C14" s="20">
        <v>97</v>
      </c>
      <c r="D14" s="3" t="str">
        <f t="shared" si="0"/>
        <v>Excellent</v>
      </c>
      <c r="E14" s="18"/>
    </row>
    <row r="15" spans="1:7" x14ac:dyDescent="0.25">
      <c r="A15" s="3" t="s">
        <v>51</v>
      </c>
      <c r="B15" s="20">
        <v>39</v>
      </c>
      <c r="C15" s="20">
        <v>86</v>
      </c>
      <c r="D15" s="3" t="str">
        <f t="shared" si="0"/>
        <v>Good</v>
      </c>
      <c r="E15" s="18"/>
    </row>
    <row r="16" spans="1:7" x14ac:dyDescent="0.25">
      <c r="A16" s="3" t="s">
        <v>50</v>
      </c>
      <c r="B16" s="20">
        <v>22</v>
      </c>
      <c r="C16" s="20">
        <v>65</v>
      </c>
      <c r="D16" s="3" t="str">
        <f t="shared" si="0"/>
        <v>NI</v>
      </c>
      <c r="E16" s="18"/>
    </row>
    <row r="17" spans="1:5" x14ac:dyDescent="0.25">
      <c r="A17" s="3" t="s">
        <v>26</v>
      </c>
      <c r="B17" s="20">
        <v>44</v>
      </c>
      <c r="C17" s="20">
        <v>91</v>
      </c>
      <c r="D17" s="3" t="str">
        <f t="shared" si="0"/>
        <v>Excellent</v>
      </c>
      <c r="E17" s="18"/>
    </row>
    <row r="18" spans="1:5" x14ac:dyDescent="0.25">
      <c r="A18" s="3" t="s">
        <v>23</v>
      </c>
      <c r="B18" s="20">
        <v>35</v>
      </c>
      <c r="C18" s="20">
        <v>80</v>
      </c>
      <c r="D18" s="3" t="str">
        <f t="shared" si="0"/>
        <v>Good</v>
      </c>
      <c r="E18" s="18"/>
    </row>
    <row r="19" spans="1:5" x14ac:dyDescent="0.25">
      <c r="A19" s="3" t="s">
        <v>22</v>
      </c>
      <c r="B19" s="20">
        <v>31</v>
      </c>
      <c r="C19" s="20">
        <v>73</v>
      </c>
      <c r="D19" s="3" t="str">
        <f t="shared" si="0"/>
        <v>NI</v>
      </c>
      <c r="E19" s="18"/>
    </row>
    <row r="20" spans="1:5" x14ac:dyDescent="0.25">
      <c r="A20" s="3" t="s">
        <v>21</v>
      </c>
      <c r="B20" s="20">
        <v>49</v>
      </c>
      <c r="C20" s="20">
        <v>96</v>
      </c>
      <c r="D20" s="3" t="str">
        <f t="shared" si="0"/>
        <v>Excellent</v>
      </c>
      <c r="E20" s="18"/>
    </row>
    <row r="21" spans="1:5" x14ac:dyDescent="0.25">
      <c r="A21" s="3" t="s">
        <v>24</v>
      </c>
      <c r="B21" s="20">
        <v>37</v>
      </c>
      <c r="C21" s="20">
        <v>84</v>
      </c>
      <c r="D21" s="3" t="str">
        <f t="shared" si="0"/>
        <v>Good</v>
      </c>
      <c r="E21" s="18"/>
    </row>
    <row r="22" spans="1:5" x14ac:dyDescent="0.25">
      <c r="A22" s="3" t="s">
        <v>61</v>
      </c>
      <c r="B22" s="20">
        <v>24</v>
      </c>
      <c r="C22" s="20">
        <v>69</v>
      </c>
      <c r="D22" s="3" t="str">
        <f t="shared" si="0"/>
        <v>NI</v>
      </c>
      <c r="E22" s="18"/>
    </row>
    <row r="23" spans="1:5" x14ac:dyDescent="0.25">
      <c r="A23" s="3" t="s">
        <v>29</v>
      </c>
      <c r="B23" s="20">
        <v>46</v>
      </c>
      <c r="C23" s="20">
        <v>93</v>
      </c>
      <c r="D23" s="3" t="str">
        <f t="shared" si="0"/>
        <v>Excellent</v>
      </c>
      <c r="E23" s="18"/>
    </row>
    <row r="24" spans="1:5" x14ac:dyDescent="0.25">
      <c r="A24" s="3" t="s">
        <v>28</v>
      </c>
      <c r="B24" s="20">
        <v>34</v>
      </c>
      <c r="C24" s="20">
        <v>81</v>
      </c>
      <c r="D24" s="3" t="str">
        <f t="shared" si="0"/>
        <v>Good</v>
      </c>
      <c r="E24" s="18"/>
    </row>
    <row r="25" spans="1:5" x14ac:dyDescent="0.25">
      <c r="A25" s="3" t="s">
        <v>49</v>
      </c>
      <c r="B25" s="20">
        <v>29</v>
      </c>
      <c r="C25" s="20">
        <v>72</v>
      </c>
      <c r="D25" s="3" t="str">
        <f t="shared" si="0"/>
        <v>NI</v>
      </c>
      <c r="E25" s="18"/>
    </row>
    <row r="26" spans="1:5" x14ac:dyDescent="0.25">
      <c r="A26" s="3" t="s">
        <v>87</v>
      </c>
      <c r="B26" s="20">
        <v>52</v>
      </c>
      <c r="C26" s="20">
        <v>98</v>
      </c>
      <c r="D26" s="3" t="str">
        <f t="shared" si="0"/>
        <v>Excellent</v>
      </c>
      <c r="E26" s="18"/>
    </row>
    <row r="27" spans="1:5" x14ac:dyDescent="0.25">
      <c r="A27" s="3" t="s">
        <v>20</v>
      </c>
      <c r="B27" s="20">
        <v>41</v>
      </c>
      <c r="C27" s="20">
        <v>90</v>
      </c>
      <c r="D27" s="3" t="str">
        <f t="shared" si="0"/>
        <v>Excellent</v>
      </c>
      <c r="E27" s="18"/>
    </row>
    <row r="28" spans="1:5" x14ac:dyDescent="0.25">
      <c r="A28" s="3" t="s">
        <v>92</v>
      </c>
      <c r="B28" s="20">
        <v>32</v>
      </c>
      <c r="C28" s="20">
        <v>79</v>
      </c>
      <c r="D28" s="3" t="str">
        <f t="shared" si="0"/>
        <v>NI</v>
      </c>
      <c r="E28" s="18"/>
    </row>
    <row r="29" spans="1:5" x14ac:dyDescent="0.25">
      <c r="A29" s="3" t="s">
        <v>98</v>
      </c>
      <c r="B29" s="20">
        <v>27</v>
      </c>
      <c r="C29" s="20">
        <v>67</v>
      </c>
      <c r="D29" s="3" t="str">
        <f t="shared" si="0"/>
        <v>NI</v>
      </c>
      <c r="E29" s="18"/>
    </row>
    <row r="30" spans="1:5" x14ac:dyDescent="0.25">
      <c r="A30" s="3" t="s">
        <v>90</v>
      </c>
      <c r="B30" s="20">
        <v>43</v>
      </c>
      <c r="C30" s="20">
        <v>92</v>
      </c>
      <c r="D30" s="3" t="str">
        <f t="shared" si="0"/>
        <v>Excellent</v>
      </c>
      <c r="E30" s="18"/>
    </row>
    <row r="31" spans="1:5" x14ac:dyDescent="0.25">
      <c r="A31" s="3" t="s">
        <v>91</v>
      </c>
      <c r="B31" s="20">
        <v>38</v>
      </c>
      <c r="C31" s="20">
        <v>87</v>
      </c>
      <c r="D31" s="3" t="str">
        <f t="shared" si="0"/>
        <v>Good</v>
      </c>
      <c r="E31" s="18"/>
    </row>
    <row r="32" spans="1:5" x14ac:dyDescent="0.25">
      <c r="A32" s="3" t="s">
        <v>88</v>
      </c>
      <c r="B32" s="20">
        <v>25</v>
      </c>
      <c r="C32" s="20">
        <v>71</v>
      </c>
      <c r="D32" s="3" t="str">
        <f t="shared" si="0"/>
        <v>NI</v>
      </c>
      <c r="E32" s="18"/>
    </row>
  </sheetData>
  <mergeCells count="1">
    <mergeCell ref="A1:D1"/>
  </mergeCells>
  <conditionalFormatting sqref="B33:B1048576 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{5FD0467D-EB9D-4E00-AB10-CBAE9837F88D}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0467D-EB9D-4E00-AB10-CBAE9837F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B33:B1048576 B1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  <vt:lpstr>Loan Approval (OR)</vt:lpstr>
      <vt:lpstr>Attendance Status (NOT)</vt:lpstr>
      <vt:lpstr>Safe Division (IFERROR)</vt:lpstr>
      <vt:lpstr>Performance Evaluation (Combine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2026-07-05T10:04:33Z</dcterms:modified>
</cp:coreProperties>
</file>