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TASKS\"/>
    </mc:Choice>
  </mc:AlternateContent>
  <xr:revisionPtr revIDLastSave="0" documentId="13_ncr:1_{B5565660-EC88-4A3B-9B64-A972D421FF08}" xr6:coauthVersionLast="47" xr6:coauthVersionMax="47" xr10:uidLastSave="{00000000-0000-0000-0000-000000000000}"/>
  <bookViews>
    <workbookView xWindow="-120" yWindow="-120" windowWidth="20730" windowHeight="11040" xr2:uid="{8840FF57-D10D-41B8-8004-80C516747518}"/>
  </bookViews>
  <sheets>
    <sheet name="Lookup Functions" sheetId="1" r:id="rId1"/>
    <sheet name="E-Commerce Order Sheet" sheetId="2" r:id="rId2"/>
  </sheets>
  <definedNames>
    <definedName name="_xlnm._FilterDatabase" localSheetId="1" hidden="1">'E-Commerce Order Sheet'!$A$1:$F$31</definedName>
    <definedName name="_xlnm._FilterDatabase" localSheetId="0" hidden="1">'Lookup Functions'!$A$4:$F$19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1" l="1"/>
  <c r="F50" i="1" a="1"/>
  <c r="F50" i="1" s="1"/>
  <c r="G50" i="1" s="1" a="1"/>
  <c r="G50" i="1" s="1"/>
  <c r="H50" i="1" s="1" a="1"/>
  <c r="H50" i="1" s="1"/>
  <c r="I50" i="1" s="1" a="1"/>
  <c r="I50" i="1" s="1"/>
  <c r="J50" i="1" s="1" a="1"/>
  <c r="J50" i="1" s="1"/>
  <c r="F49" i="1" a="1"/>
  <c r="F49" i="1" s="1"/>
  <c r="B49" i="1" a="1"/>
  <c r="B49" i="1" s="1"/>
  <c r="E45" i="1" a="1"/>
  <c r="E45" i="1" s="1"/>
  <c r="B45" i="1"/>
  <c r="J38" i="1"/>
  <c r="N34" i="1"/>
  <c r="J34" i="1" a="1"/>
  <c r="J34" i="1" s="1"/>
  <c r="M29" i="1"/>
  <c r="J29" i="1"/>
  <c r="B38" i="1"/>
  <c r="C34" i="1"/>
  <c r="D34" i="1"/>
  <c r="E34" i="1"/>
  <c r="F34" i="1"/>
  <c r="B34" i="1"/>
  <c r="B33" i="1"/>
  <c r="D33" i="1"/>
  <c r="C33" i="1"/>
  <c r="E33" i="1"/>
  <c r="F33" i="1"/>
  <c r="E29" i="1"/>
  <c r="E25" i="1"/>
  <c r="B29" i="1"/>
  <c r="B25" i="1"/>
  <c r="P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<sst xmlns="http://schemas.openxmlformats.org/spreadsheetml/2006/main" count="316" uniqueCount="190">
  <si>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</si>
  <si>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</si>
  <si>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</si>
  <si>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</si>
  <si>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</si>
  <si>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</si>
  <si>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</si>
  <si>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</si>
  <si>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</si>
  <si>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</si>
  <si>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</si>
  <si>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</si>
  <si>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</si>
  <si>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</si>
  <si>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</si>
  <si>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</si>
  <si>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</si>
  <si>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</si>
  <si>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</si>
  <si>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</si>
  <si>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</si>
  <si>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</si>
  <si>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</si>
  <si>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</si>
  <si>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</si>
  <si>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</si>
  <si>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</si>
  <si>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</si>
  <si>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</si>
  <si>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</si>
  <si>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</si>
  <si>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</si>
  <si>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</si>
  <si>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E109</t>
  </si>
  <si>
    <t>Vikram Patel</t>
  </si>
  <si>
    <t>Ahmedabad</t>
  </si>
  <si>
    <t>E110</t>
  </si>
  <si>
    <t>Sneha Joshi</t>
  </si>
  <si>
    <t>E111</t>
  </si>
  <si>
    <t>Arjun Nair</t>
  </si>
  <si>
    <t>Kochi</t>
  </si>
  <si>
    <t>E112</t>
  </si>
  <si>
    <t>Priya Das</t>
  </si>
  <si>
    <t>Kolkata</t>
  </si>
  <si>
    <t>E113</t>
  </si>
  <si>
    <t>Manish Yadav</t>
  </si>
  <si>
    <t>Lucknow</t>
  </si>
  <si>
    <t>E114</t>
  </si>
  <si>
    <t>Ritu Malhotra</t>
  </si>
  <si>
    <t>E115</t>
  </si>
  <si>
    <t>Deepak Mishra</t>
  </si>
  <si>
    <t>Jaipur</t>
  </si>
  <si>
    <t>Bonus %</t>
  </si>
  <si>
    <t>VLOOKUP Tasks (1–6)</t>
  </si>
  <si>
    <r>
      <t>1. Find the </t>
    </r>
    <r>
      <rPr>
        <sz val="12"/>
        <color rgb="FF1F2328"/>
        <rFont val="Segoe UI"/>
        <family val="2"/>
      </rPr>
      <t>Name</t>
    </r>
    <r>
      <rPr>
        <sz val="12"/>
        <color rgb="FF1F2328"/>
        <rFont val="Segoe UI"/>
        <family val="2"/>
      </rPr>
      <t> of employee 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from </t>
    </r>
    <r>
      <rPr>
        <sz val="10"/>
        <color rgb="FF1F2328"/>
        <rFont val="Consolas"/>
        <family val="3"/>
      </rPr>
      <t>Search_Input</t>
    </r>
    <r>
      <rPr>
        <sz val="12"/>
        <color rgb="FF1F2328"/>
        <rFont val="Segoe UI"/>
        <family val="2"/>
      </rPr>
      <t>.</t>
    </r>
  </si>
  <si>
    <r>
      <t>2. Find the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of employee with ID </t>
    </r>
    <r>
      <rPr>
        <sz val="12"/>
        <color rgb="FF1F2328"/>
        <rFont val="Segoe UI"/>
        <family val="2"/>
      </rPr>
      <t>E103</t>
    </r>
    <r>
      <rPr>
        <sz val="12"/>
        <color rgb="FF1F2328"/>
        <rFont val="Segoe UI"/>
        <family val="2"/>
      </rPr>
      <t>.</t>
    </r>
  </si>
  <si>
    <r>
      <t>3. Find the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Neha Singh</t>
    </r>
    <r>
      <rPr>
        <sz val="12"/>
        <color rgb="FF1F2328"/>
        <rFont val="Segoe UI"/>
        <family val="2"/>
      </rPr>
      <t> using VLOOKUP.</t>
    </r>
  </si>
  <si>
    <r>
      <t>4. Get the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E107</t>
    </r>
    <r>
      <rPr>
        <sz val="12"/>
        <color rgb="FF1F2328"/>
        <rFont val="Segoe UI"/>
        <family val="2"/>
      </rPr>
      <t>.</t>
    </r>
  </si>
  <si>
    <r>
      <t>5. If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is not found, display </t>
    </r>
    <r>
      <rPr>
        <sz val="12"/>
        <color rgb="FF1F2328"/>
        <rFont val="Segoe UI"/>
        <family val="2"/>
      </rPr>
      <t>"Not Found"</t>
    </r>
    <r>
      <rPr>
        <sz val="12"/>
        <color rgb="FF1F2328"/>
        <rFont val="Segoe UI"/>
        <family val="2"/>
      </rPr>
      <t>.</t>
    </r>
  </si>
  <si>
    <r>
      <t>6. Find the </t>
    </r>
    <r>
      <rPr>
        <sz val="12"/>
        <color rgb="FF1F2328"/>
        <rFont val="Segoe UI"/>
        <family val="2"/>
      </rPr>
      <t>JoiningYear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E101</t>
    </r>
    <r>
      <rPr>
        <sz val="12"/>
        <color rgb="FF1F2328"/>
        <rFont val="Segoe UI"/>
        <family val="2"/>
      </rPr>
      <t>.</t>
    </r>
  </si>
  <si>
    <t>HLOOKUP Tasks (7–10)</t>
  </si>
  <si>
    <r>
      <t>7.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IT</t>
    </r>
    <r>
      <rPr>
        <sz val="12"/>
        <color rgb="FF1F2328"/>
        <rFont val="Segoe UI"/>
        <family val="2"/>
      </rPr>
      <t> department.</t>
    </r>
  </si>
  <si>
    <r>
      <t>8.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Finance</t>
    </r>
    <r>
      <rPr>
        <sz val="12"/>
        <color rgb="FF1F2328"/>
        <rFont val="Segoe UI"/>
        <family val="2"/>
      </rPr>
      <t> department.</t>
    </r>
  </si>
  <si>
    <r>
      <t>9. Calculate </t>
    </r>
    <r>
      <rPr>
        <sz val="12"/>
        <color rgb="FF1F2328"/>
        <rFont val="Segoe UI"/>
        <family val="2"/>
      </rPr>
      <t>Bonus Amount</t>
    </r>
    <r>
      <rPr>
        <sz val="12"/>
        <color rgb="FF1F2328"/>
        <rFont val="Segoe UI"/>
        <family val="2"/>
      </rPr>
      <t> for employee </t>
    </r>
    <r>
      <rPr>
        <sz val="12"/>
        <color rgb="FF1F2328"/>
        <rFont val="Segoe UI"/>
        <family val="2"/>
      </rPr>
      <t>E104</t>
    </r>
  </si>
  <si>
    <t>(Bonus Amount = Salary × Bonus %).</t>
  </si>
  <si>
    <r>
      <t>10. If department is invalid, display </t>
    </r>
    <r>
      <rPr>
        <sz val="12"/>
        <color rgb="FF1F2328"/>
        <rFont val="Segoe UI"/>
        <family val="2"/>
      </rPr>
      <t>"No Bonus Data"</t>
    </r>
    <r>
      <rPr>
        <sz val="12"/>
        <color rgb="FF1F2328"/>
        <rFont val="Segoe UI"/>
        <family val="2"/>
      </rPr>
      <t>.</t>
    </r>
  </si>
  <si>
    <t>XLOOKUP Tasks (11–15)</t>
  </si>
  <si>
    <r>
      <t>11. Find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.</t>
    </r>
  </si>
  <si>
    <r>
      <t>12. Find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using </t>
    </r>
    <r>
      <rPr>
        <sz val="12"/>
        <color rgb="FF1F2328"/>
        <rFont val="Segoe UI"/>
        <family val="2"/>
      </rPr>
      <t>Employee Name</t>
    </r>
    <r>
      <rPr>
        <sz val="12"/>
        <color rgb="FF1F2328"/>
        <rFont val="Segoe UI"/>
        <family val="2"/>
      </rPr>
      <t>.</t>
    </r>
  </si>
  <si>
    <r>
      <t>13. Fetch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Rohit Verma</t>
    </r>
    <r>
      <rPr>
        <sz val="12"/>
        <color rgb="FF1F2328"/>
        <rFont val="Segoe UI"/>
        <family val="2"/>
      </rPr>
      <t>.</t>
    </r>
  </si>
  <si>
    <r>
      <t>14. If </t>
    </r>
    <r>
      <rPr>
        <sz val="10"/>
        <color rgb="FF1F2328"/>
        <rFont val="Consolas"/>
        <family val="3"/>
      </rPr>
      <t>EmployeeID = E999</t>
    </r>
    <r>
      <rPr>
        <sz val="12"/>
        <color rgb="FF1F2328"/>
        <rFont val="Segoe UI"/>
        <family val="2"/>
      </rPr>
      <t>, return </t>
    </r>
    <r>
      <rPr>
        <sz val="12"/>
        <color rgb="FF1F2328"/>
        <rFont val="Segoe UI"/>
        <family val="2"/>
      </rPr>
      <t>"Employee Not Found"</t>
    </r>
    <r>
      <rPr>
        <sz val="12"/>
        <color rgb="FF1F2328"/>
        <rFont val="Segoe UI"/>
        <family val="2"/>
      </rPr>
      <t>.</t>
    </r>
  </si>
  <si>
    <r>
      <t>15. Find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using XLOOKUP from </t>
    </r>
    <r>
      <rPr>
        <sz val="10"/>
        <color rgb="FF1F2328"/>
        <rFont val="Consolas"/>
        <family val="3"/>
      </rPr>
      <t>Department_Bonus</t>
    </r>
    <r>
      <rPr>
        <sz val="12"/>
        <color rgb="FF1F2328"/>
        <rFont val="Segoe UI"/>
        <family val="2"/>
      </rPr>
      <t> (horizontal lookup).</t>
    </r>
  </si>
  <si>
    <t>TASK 01 :</t>
  </si>
  <si>
    <t>TASK 02 :</t>
  </si>
  <si>
    <t>TASK 03 :</t>
  </si>
  <si>
    <t>NEHA SINGH</t>
  </si>
  <si>
    <t>TASK 04 :</t>
  </si>
  <si>
    <t>VLOOKUP TASKS :</t>
  </si>
  <si>
    <t>TASK 05 :</t>
  </si>
  <si>
    <t>E120</t>
  </si>
  <si>
    <t>TASK 06 :</t>
  </si>
  <si>
    <t>HLOOKUP TASKS :</t>
  </si>
  <si>
    <t>TASK 07 :</t>
  </si>
  <si>
    <t>TASK 08 :</t>
  </si>
  <si>
    <t>FINANCE</t>
  </si>
  <si>
    <t>TASK 09 :</t>
  </si>
  <si>
    <t>Bonus Amount</t>
  </si>
  <si>
    <t>Bonus in No</t>
  </si>
  <si>
    <t>TASK 10 :</t>
  </si>
  <si>
    <t>BDE</t>
  </si>
  <si>
    <t>XLOOKUP TASKS :</t>
  </si>
  <si>
    <t>TASK 11 :</t>
  </si>
  <si>
    <t>TASK 12 :</t>
  </si>
  <si>
    <t>TASK 13 :</t>
  </si>
  <si>
    <t>TASK 14 :</t>
  </si>
  <si>
    <t>E999</t>
  </si>
  <si>
    <t>TASK 15 :</t>
  </si>
  <si>
    <t>Lookup Functions (VLOOKUP, HLOOKUP, XLOOKUP)</t>
  </si>
  <si>
    <t>EMPLOYEE DATA</t>
  </si>
  <si>
    <t>Order ID</t>
  </si>
  <si>
    <t>Customer</t>
  </si>
  <si>
    <t>Product</t>
  </si>
  <si>
    <t>Qty</t>
  </si>
  <si>
    <t>Unit Price</t>
  </si>
  <si>
    <t>Status</t>
  </si>
  <si>
    <t>ORA1X9</t>
  </si>
  <si>
    <t>Amit</t>
  </si>
  <si>
    <t>Laptop</t>
  </si>
  <si>
    <t>Delivered</t>
  </si>
  <si>
    <t>BK7M2Q</t>
  </si>
  <si>
    <t>Neha</t>
  </si>
  <si>
    <t>Mouse</t>
  </si>
  <si>
    <t>Pending</t>
  </si>
  <si>
    <t>XP4L8N</t>
  </si>
  <si>
    <t>Ravi</t>
  </si>
  <si>
    <t>Keyboard</t>
  </si>
  <si>
    <t>ZQ9T5R</t>
  </si>
  <si>
    <t>Priya</t>
  </si>
  <si>
    <t>Monitor</t>
  </si>
  <si>
    <t>Cancelled</t>
  </si>
  <si>
    <t>LM3V7K</t>
  </si>
  <si>
    <t>Karan</t>
  </si>
  <si>
    <t>Printer</t>
  </si>
  <si>
    <t>HD8P1S</t>
  </si>
  <si>
    <t>Simran</t>
  </si>
  <si>
    <t>Webcam</t>
  </si>
  <si>
    <t>YR6N4B</t>
  </si>
  <si>
    <t>Arjun</t>
  </si>
  <si>
    <t>Headphones</t>
  </si>
  <si>
    <t>CT2W9J</t>
  </si>
  <si>
    <t>Pooja</t>
  </si>
  <si>
    <t>SSD</t>
  </si>
  <si>
    <t>Shipped</t>
  </si>
  <si>
    <t>FV1X5M</t>
  </si>
  <si>
    <t>Vikram</t>
  </si>
  <si>
    <t>GP8R3H</t>
  </si>
  <si>
    <t>Sneha</t>
  </si>
  <si>
    <t>JA4K7T</t>
  </si>
  <si>
    <t>Deepak</t>
  </si>
  <si>
    <t>NM9Q2L</t>
  </si>
  <si>
    <t>Meera</t>
  </si>
  <si>
    <t>UK5D8P</t>
  </si>
  <si>
    <t>Suresh</t>
  </si>
  <si>
    <t>WE3F6X</t>
  </si>
  <si>
    <t>Anjali</t>
  </si>
  <si>
    <t>RT7J1N</t>
  </si>
  <si>
    <t>Rohan</t>
  </si>
  <si>
    <t>PL2H9C</t>
  </si>
  <si>
    <t>Kavita</t>
  </si>
  <si>
    <t>QS8Y4V</t>
  </si>
  <si>
    <t>Nikhil</t>
  </si>
  <si>
    <t>MX6B1K</t>
  </si>
  <si>
    <t>Ayesha</t>
  </si>
  <si>
    <t>DN4R7W</t>
  </si>
  <si>
    <t>Manish</t>
  </si>
  <si>
    <t>HC9L3Q</t>
  </si>
  <si>
    <t>Divya</t>
  </si>
  <si>
    <t>VB5T8A</t>
  </si>
  <si>
    <t>Rahul</t>
  </si>
  <si>
    <t>KF2P6Z</t>
  </si>
  <si>
    <t>Isha</t>
  </si>
  <si>
    <t>TY7N4M</t>
  </si>
  <si>
    <t>Mohit</t>
  </si>
  <si>
    <t>XR1C8J</t>
  </si>
  <si>
    <t>Nisha</t>
  </si>
  <si>
    <t>BW9F5L</t>
  </si>
  <si>
    <t>Ajay</t>
  </si>
  <si>
    <t>ZM3K7R</t>
  </si>
  <si>
    <t>Reema</t>
  </si>
  <si>
    <t>QL8H2V</t>
  </si>
  <si>
    <t>Sanjay</t>
  </si>
  <si>
    <t>PN4X6D</t>
  </si>
  <si>
    <t>Tina</t>
  </si>
  <si>
    <t>GK1W9Y</t>
  </si>
  <si>
    <t>Harsh</t>
  </si>
  <si>
    <t>SV7M5P</t>
  </si>
  <si>
    <t>Sonia</t>
  </si>
  <si>
    <t>Tasks</t>
  </si>
  <si>
    <t>1. Format the worksheet professionally.</t>
  </si>
  <si>
    <t>Bold headers</t>
  </si>
  <si>
    <t>Apply header color</t>
  </si>
  <si>
    <t>Add borders</t>
  </si>
  <si>
    <t>AutoFit all columns</t>
  </si>
  <si>
    <t>Format Unit Price as Currency</t>
  </si>
  <si>
    <t>Total Amount &gt; ₹50,000 → High Value</t>
  </si>
  <si>
    <t>Otherwise → Normal</t>
  </si>
  <si>
    <r>
      <t>2. Create a </t>
    </r>
    <r>
      <rPr>
        <sz val="11"/>
        <color rgb="FF1F2328"/>
        <rFont val="Segoe UI"/>
        <family val="2"/>
      </rPr>
      <t>Total Amount</t>
    </r>
    <r>
      <rPr>
        <sz val="11"/>
        <color rgb="FF1F2328"/>
        <rFont val="Segoe UI"/>
        <family val="2"/>
      </rPr>
      <t> column.</t>
    </r>
  </si>
  <si>
    <r>
      <t>3. Highlight </t>
    </r>
    <r>
      <rPr>
        <sz val="11"/>
        <color rgb="FF1F2328"/>
        <rFont val="Segoe UI"/>
        <family val="2"/>
      </rPr>
      <t>Cancelled</t>
    </r>
    <r>
      <rPr>
        <sz val="11"/>
        <color rgb="FF1F2328"/>
        <rFont val="Segoe UI"/>
        <family val="2"/>
      </rPr>
      <t> orders in Red.</t>
    </r>
  </si>
  <si>
    <r>
      <t>4. Highlight orders where </t>
    </r>
    <r>
      <rPr>
        <sz val="11"/>
        <color rgb="FF1F2328"/>
        <rFont val="Segoe UI"/>
        <family val="2"/>
      </rPr>
      <t>Total Amount is greater than ₹50,000</t>
    </r>
    <r>
      <rPr>
        <sz val="11"/>
        <color rgb="FF1F2328"/>
        <rFont val="Segoe UI"/>
        <family val="2"/>
      </rPr>
      <t>.</t>
    </r>
  </si>
  <si>
    <r>
      <t>5. Create an </t>
    </r>
    <r>
      <rPr>
        <sz val="11"/>
        <color rgb="FF1F2328"/>
        <rFont val="Segoe UI"/>
        <family val="2"/>
      </rPr>
      <t>Order Category</t>
    </r>
    <r>
      <rPr>
        <sz val="11"/>
        <color rgb="FF1F2328"/>
        <rFont val="Segoe UI"/>
        <family val="2"/>
      </rPr>
      <t> 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</si>
</sst>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0"/>
      <color rgb="FF1F2328"/>
      <name val="Consolas"/>
      <family val="3"/>
    </font>
    <font>
      <b/>
      <sz val="24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sz val="11"/>
      <color rgb="FF1F2328"/>
      <name val="Segoe UI"/>
      <family val="2"/>
    </font>
    <font>
      <sz val="11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0" fillId="4" borderId="1" xfId="0" applyFill="1" applyBorder="1"/>
    <xf numFmtId="0" fontId="0" fillId="2" borderId="1" xfId="0" applyFill="1" applyBorder="1"/>
    <xf numFmtId="0" fontId="0" fillId="4" borderId="0" xfId="0" applyFill="1"/>
    <xf numFmtId="0" fontId="0" fillId="0" borderId="0" xfId="0" applyAlignment="1">
      <alignment vertical="center"/>
    </xf>
    <xf numFmtId="0" fontId="2" fillId="2" borderId="1" xfId="0" applyFont="1" applyFill="1" applyBorder="1"/>
    <xf numFmtId="9" fontId="0" fillId="4" borderId="1" xfId="1" applyFont="1" applyFill="1" applyBorder="1"/>
    <xf numFmtId="0" fontId="0" fillId="4" borderId="1" xfId="1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9" fontId="0" fillId="0" borderId="14" xfId="0" applyNumberFormat="1" applyBorder="1" applyAlignment="1">
      <alignment vertical="center" wrapText="1"/>
    </xf>
    <xf numFmtId="9" fontId="0" fillId="0" borderId="15" xfId="0" applyNumberFormat="1" applyBorder="1" applyAlignment="1">
      <alignment vertical="center" wrapText="1"/>
    </xf>
    <xf numFmtId="0" fontId="4" fillId="2" borderId="16" xfId="0" applyFont="1" applyFill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2" borderId="16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0" fontId="2" fillId="4" borderId="22" xfId="0" applyFont="1" applyFill="1" applyBorder="1"/>
    <xf numFmtId="0" fontId="2" fillId="4" borderId="0" xfId="0" applyFont="1" applyFill="1"/>
    <xf numFmtId="0" fontId="0" fillId="4" borderId="23" xfId="0" applyFill="1" applyBorder="1"/>
    <xf numFmtId="0" fontId="2" fillId="2" borderId="24" xfId="0" applyFont="1" applyFill="1" applyBorder="1" applyAlignment="1">
      <alignment horizontal="center" vertical="center" wrapText="1"/>
    </xf>
    <xf numFmtId="0" fontId="0" fillId="4" borderId="24" xfId="0" applyFill="1" applyBorder="1"/>
    <xf numFmtId="0" fontId="0" fillId="4" borderId="22" xfId="0" applyFill="1" applyBorder="1"/>
    <xf numFmtId="0" fontId="2" fillId="2" borderId="25" xfId="0" applyFont="1" applyFill="1" applyBorder="1" applyAlignment="1">
      <alignment horizontal="center" vertical="center" wrapText="1"/>
    </xf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2" fillId="2" borderId="25" xfId="0" applyFont="1" applyFill="1" applyBorder="1" applyAlignment="1">
      <alignment horizontal="center" vertical="center"/>
    </xf>
    <xf numFmtId="0" fontId="0" fillId="4" borderId="24" xfId="0" applyFill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0" fontId="0" fillId="4" borderId="31" xfId="0" applyFill="1" applyBorder="1"/>
    <xf numFmtId="0" fontId="2" fillId="4" borderId="22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vertical="center"/>
    </xf>
    <xf numFmtId="0" fontId="10" fillId="0" borderId="40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170" fontId="0" fillId="0" borderId="1" xfId="0" applyNumberFormat="1" applyBorder="1" applyAlignment="1">
      <alignment vertical="center"/>
    </xf>
    <xf numFmtId="170" fontId="0" fillId="0" borderId="48" xfId="0" applyNumberFormat="1" applyBorder="1" applyAlignment="1">
      <alignment vertical="center"/>
    </xf>
    <xf numFmtId="0" fontId="0" fillId="0" borderId="45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49" xfId="0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4B99-A43D-4909-AC07-F6E04F957755}">
  <dimension ref="A1:P55"/>
  <sheetViews>
    <sheetView tabSelected="1" topLeftCell="H26" zoomScale="120" zoomScaleNormal="72" workbookViewId="0">
      <selection activeCell="I3" sqref="I3:N3"/>
    </sheetView>
  </sheetViews>
  <sheetFormatPr defaultRowHeight="15" x14ac:dyDescent="0.25"/>
  <cols>
    <col min="1" max="1" width="16.42578125" customWidth="1"/>
    <col min="2" max="2" width="22" bestFit="1" customWidth="1"/>
    <col min="3" max="3" width="20.28515625" customWidth="1"/>
    <col min="4" max="7" width="16.28515625" customWidth="1"/>
    <col min="8" max="8" width="20.42578125" customWidth="1"/>
    <col min="9" max="9" width="70.85546875" customWidth="1"/>
    <col min="10" max="10" width="24.5703125" bestFit="1" customWidth="1"/>
    <col min="11" max="11" width="66.28515625" bestFit="1" customWidth="1"/>
    <col min="12" max="12" width="5.28515625" bestFit="1" customWidth="1"/>
    <col min="13" max="13" width="7.85546875" bestFit="1" customWidth="1"/>
    <col min="14" max="14" width="10.85546875" customWidth="1"/>
  </cols>
  <sheetData>
    <row r="1" spans="1:16" ht="36.75" thickBot="1" x14ac:dyDescent="0.3">
      <c r="A1" s="54" t="s">
        <v>97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</row>
    <row r="2" spans="1:16" ht="15.75" thickBot="1" x14ac:dyDescent="0.3"/>
    <row r="3" spans="1:16" ht="34.5" thickBot="1" x14ac:dyDescent="0.3">
      <c r="A3" s="57" t="s">
        <v>98</v>
      </c>
      <c r="B3" s="58"/>
      <c r="C3" s="58"/>
      <c r="D3" s="58"/>
      <c r="E3" s="58"/>
      <c r="F3" s="59"/>
      <c r="I3" s="57" t="s">
        <v>52</v>
      </c>
      <c r="J3" s="58"/>
      <c r="K3" s="58"/>
      <c r="L3" s="58"/>
      <c r="M3" s="58"/>
      <c r="N3" s="59"/>
    </row>
    <row r="4" spans="1:16" x14ac:dyDescent="0.25">
      <c r="A4" s="47" t="s">
        <v>0</v>
      </c>
      <c r="B4" s="48" t="s">
        <v>1</v>
      </c>
      <c r="C4" s="49" t="s">
        <v>2</v>
      </c>
      <c r="D4" s="49" t="s">
        <v>3</v>
      </c>
      <c r="E4" s="49" t="s">
        <v>4</v>
      </c>
      <c r="F4" s="50" t="s">
        <v>5</v>
      </c>
      <c r="G4" s="11"/>
      <c r="I4" s="19" t="s">
        <v>2</v>
      </c>
      <c r="J4" s="20" t="s">
        <v>8</v>
      </c>
      <c r="K4" s="20" t="s">
        <v>12</v>
      </c>
      <c r="L4" s="20" t="s">
        <v>16</v>
      </c>
      <c r="M4" s="20" t="s">
        <v>20</v>
      </c>
      <c r="N4" s="21" t="s">
        <v>24</v>
      </c>
    </row>
    <row r="5" spans="1:16" ht="15.75" thickBot="1" x14ac:dyDescent="0.3">
      <c r="A5" s="13" t="s">
        <v>6</v>
      </c>
      <c r="B5" s="14" t="s">
        <v>7</v>
      </c>
      <c r="C5" s="12" t="s">
        <v>8</v>
      </c>
      <c r="D5" s="12" t="s">
        <v>9</v>
      </c>
      <c r="E5" s="12">
        <v>45000</v>
      </c>
      <c r="F5" s="15">
        <v>2019</v>
      </c>
      <c r="G5" s="6"/>
      <c r="I5" s="22" t="s">
        <v>52</v>
      </c>
      <c r="J5" s="23">
        <v>0.1</v>
      </c>
      <c r="K5" s="23">
        <v>0.08</v>
      </c>
      <c r="L5" s="23">
        <v>0.12</v>
      </c>
      <c r="M5" s="23">
        <v>0.15</v>
      </c>
      <c r="N5" s="24">
        <v>0.09</v>
      </c>
    </row>
    <row r="6" spans="1:16" x14ac:dyDescent="0.25">
      <c r="A6" s="13" t="s">
        <v>10</v>
      </c>
      <c r="B6" s="14" t="s">
        <v>11</v>
      </c>
      <c r="C6" s="12" t="s">
        <v>12</v>
      </c>
      <c r="D6" s="12" t="s">
        <v>13</v>
      </c>
      <c r="E6" s="12">
        <v>52000</v>
      </c>
      <c r="F6" s="15">
        <v>2018</v>
      </c>
      <c r="G6" s="6"/>
    </row>
    <row r="7" spans="1:16" ht="15.75" thickBot="1" x14ac:dyDescent="0.3">
      <c r="A7" s="13" t="s">
        <v>14</v>
      </c>
      <c r="B7" s="14" t="s">
        <v>15</v>
      </c>
      <c r="C7" s="12" t="s">
        <v>16</v>
      </c>
      <c r="D7" s="12" t="s">
        <v>17</v>
      </c>
      <c r="E7" s="12">
        <v>65000</v>
      </c>
      <c r="F7" s="15">
        <v>2020</v>
      </c>
      <c r="G7" s="6"/>
    </row>
    <row r="8" spans="1:16" ht="24.75" x14ac:dyDescent="0.25">
      <c r="A8" s="13" t="s">
        <v>18</v>
      </c>
      <c r="B8" s="14" t="s">
        <v>19</v>
      </c>
      <c r="C8" s="12" t="s">
        <v>20</v>
      </c>
      <c r="D8" s="12" t="s">
        <v>21</v>
      </c>
      <c r="E8" s="12">
        <v>58000</v>
      </c>
      <c r="F8" s="15">
        <v>2017</v>
      </c>
      <c r="G8" s="6"/>
      <c r="I8" s="25" t="s">
        <v>53</v>
      </c>
      <c r="K8" s="25" t="s">
        <v>60</v>
      </c>
    </row>
    <row r="9" spans="1:16" ht="17.25" x14ac:dyDescent="0.25">
      <c r="A9" s="13" t="s">
        <v>22</v>
      </c>
      <c r="B9" s="14" t="s">
        <v>23</v>
      </c>
      <c r="C9" s="12" t="s">
        <v>24</v>
      </c>
      <c r="D9" s="12" t="s">
        <v>9</v>
      </c>
      <c r="E9" s="12">
        <v>48000</v>
      </c>
      <c r="F9" s="15">
        <v>2021</v>
      </c>
      <c r="G9" s="6"/>
      <c r="I9" s="26" t="s">
        <v>54</v>
      </c>
      <c r="K9" s="26" t="s">
        <v>61</v>
      </c>
    </row>
    <row r="10" spans="1:16" ht="17.25" x14ac:dyDescent="0.25">
      <c r="A10" s="13" t="s">
        <v>25</v>
      </c>
      <c r="B10" s="14" t="s">
        <v>26</v>
      </c>
      <c r="C10" s="12" t="s">
        <v>16</v>
      </c>
      <c r="D10" s="12" t="s">
        <v>27</v>
      </c>
      <c r="E10" s="12">
        <v>62000</v>
      </c>
      <c r="F10" s="15">
        <v>2019</v>
      </c>
      <c r="G10" s="6"/>
      <c r="I10" s="26" t="s">
        <v>55</v>
      </c>
      <c r="K10" s="26" t="s">
        <v>62</v>
      </c>
    </row>
    <row r="11" spans="1:16" ht="17.25" x14ac:dyDescent="0.25">
      <c r="A11" s="13" t="s">
        <v>28</v>
      </c>
      <c r="B11" s="14" t="s">
        <v>29</v>
      </c>
      <c r="C11" s="12" t="s">
        <v>8</v>
      </c>
      <c r="D11" s="12" t="s">
        <v>30</v>
      </c>
      <c r="E11" s="12">
        <v>47000</v>
      </c>
      <c r="F11" s="15">
        <v>2020</v>
      </c>
      <c r="G11" s="6"/>
      <c r="I11" s="26" t="s">
        <v>56</v>
      </c>
      <c r="K11" s="26" t="s">
        <v>63</v>
      </c>
    </row>
    <row r="12" spans="1:16" ht="17.25" x14ac:dyDescent="0.25">
      <c r="A12" s="13" t="s">
        <v>31</v>
      </c>
      <c r="B12" s="14" t="s">
        <v>32</v>
      </c>
      <c r="C12" s="12" t="s">
        <v>12</v>
      </c>
      <c r="D12" s="12" t="s">
        <v>17</v>
      </c>
      <c r="E12" s="12">
        <v>54000</v>
      </c>
      <c r="F12" s="15">
        <v>2016</v>
      </c>
      <c r="G12" s="6"/>
      <c r="I12" s="26" t="s">
        <v>57</v>
      </c>
      <c r="K12" s="26" t="s">
        <v>64</v>
      </c>
    </row>
    <row r="13" spans="1:16" ht="18" thickBot="1" x14ac:dyDescent="0.3">
      <c r="A13" s="13" t="s">
        <v>33</v>
      </c>
      <c r="B13" s="14" t="s">
        <v>34</v>
      </c>
      <c r="C13" s="12" t="s">
        <v>20</v>
      </c>
      <c r="D13" s="12" t="s">
        <v>35</v>
      </c>
      <c r="E13" s="12">
        <v>60000</v>
      </c>
      <c r="F13" s="15">
        <v>2018</v>
      </c>
      <c r="G13" s="6"/>
      <c r="I13" s="26" t="s">
        <v>58</v>
      </c>
      <c r="K13" s="27" t="s">
        <v>65</v>
      </c>
    </row>
    <row r="14" spans="1:16" ht="18" thickBot="1" x14ac:dyDescent="0.3">
      <c r="A14" s="13" t="s">
        <v>36</v>
      </c>
      <c r="B14" s="14" t="s">
        <v>37</v>
      </c>
      <c r="C14" s="12" t="s">
        <v>24</v>
      </c>
      <c r="D14" s="12" t="s">
        <v>21</v>
      </c>
      <c r="E14" s="12">
        <v>50000</v>
      </c>
      <c r="F14" s="15">
        <v>2022</v>
      </c>
      <c r="G14" s="6"/>
      <c r="I14" s="27" t="s">
        <v>59</v>
      </c>
    </row>
    <row r="15" spans="1:16" x14ac:dyDescent="0.25">
      <c r="A15" s="13" t="s">
        <v>38</v>
      </c>
      <c r="B15" s="14" t="s">
        <v>39</v>
      </c>
      <c r="C15" s="12" t="s">
        <v>16</v>
      </c>
      <c r="D15" s="12" t="s">
        <v>40</v>
      </c>
      <c r="E15" s="12">
        <v>68000</v>
      </c>
      <c r="F15" s="15">
        <v>2021</v>
      </c>
      <c r="G15" s="6"/>
    </row>
    <row r="16" spans="1:16" ht="15.75" thickBot="1" x14ac:dyDescent="0.3">
      <c r="A16" s="13" t="s">
        <v>41</v>
      </c>
      <c r="B16" s="14" t="s">
        <v>42</v>
      </c>
      <c r="C16" s="12" t="s">
        <v>8</v>
      </c>
      <c r="D16" s="12" t="s">
        <v>43</v>
      </c>
      <c r="E16" s="12">
        <v>46000</v>
      </c>
      <c r="F16" s="15">
        <v>2019</v>
      </c>
      <c r="G16" s="6"/>
    </row>
    <row r="17" spans="1:16" ht="24.75" x14ac:dyDescent="0.25">
      <c r="A17" s="13" t="s">
        <v>44</v>
      </c>
      <c r="B17" s="14" t="s">
        <v>45</v>
      </c>
      <c r="C17" s="12" t="s">
        <v>12</v>
      </c>
      <c r="D17" s="12" t="s">
        <v>46</v>
      </c>
      <c r="E17" s="12">
        <v>55000</v>
      </c>
      <c r="F17" s="15">
        <v>2020</v>
      </c>
      <c r="G17" s="6"/>
      <c r="I17" s="28" t="s">
        <v>66</v>
      </c>
    </row>
    <row r="18" spans="1:16" ht="17.25" x14ac:dyDescent="0.25">
      <c r="A18" s="13" t="s">
        <v>47</v>
      </c>
      <c r="B18" s="14" t="s">
        <v>48</v>
      </c>
      <c r="C18" s="12" t="s">
        <v>20</v>
      </c>
      <c r="D18" s="12" t="s">
        <v>13</v>
      </c>
      <c r="E18" s="12">
        <v>61000</v>
      </c>
      <c r="F18" s="15">
        <v>2016</v>
      </c>
      <c r="G18" s="6"/>
      <c r="I18" s="29" t="s">
        <v>67</v>
      </c>
    </row>
    <row r="19" spans="1:16" ht="18" thickBot="1" x14ac:dyDescent="0.3">
      <c r="A19" s="13" t="s">
        <v>49</v>
      </c>
      <c r="B19" s="16" t="s">
        <v>50</v>
      </c>
      <c r="C19" s="17" t="s">
        <v>24</v>
      </c>
      <c r="D19" s="17" t="s">
        <v>51</v>
      </c>
      <c r="E19" s="17">
        <v>49000</v>
      </c>
      <c r="F19" s="18">
        <v>2023</v>
      </c>
      <c r="G19" s="6"/>
      <c r="I19" s="29" t="s">
        <v>68</v>
      </c>
    </row>
    <row r="20" spans="1:16" ht="17.25" x14ac:dyDescent="0.25">
      <c r="I20" s="29" t="s">
        <v>69</v>
      </c>
    </row>
    <row r="21" spans="1:16" ht="18" thickBot="1" x14ac:dyDescent="0.3">
      <c r="I21" s="29"/>
    </row>
    <row r="22" spans="1:16" ht="32.25" thickBot="1" x14ac:dyDescent="0.3">
      <c r="A22" s="62" t="s">
        <v>77</v>
      </c>
      <c r="B22" s="63"/>
      <c r="C22" s="63"/>
      <c r="D22" s="63"/>
      <c r="E22" s="63"/>
      <c r="F22" s="63"/>
      <c r="G22" s="64"/>
      <c r="I22" s="29" t="s">
        <v>70</v>
      </c>
    </row>
    <row r="23" spans="1:16" ht="35.25" thickBot="1" x14ac:dyDescent="0.3">
      <c r="A23" s="45" t="s">
        <v>72</v>
      </c>
      <c r="B23" s="5"/>
      <c r="C23" s="5"/>
      <c r="D23" s="2" t="s">
        <v>74</v>
      </c>
      <c r="E23" s="5"/>
      <c r="F23" s="5"/>
      <c r="G23" s="33"/>
      <c r="I23" s="30" t="s">
        <v>71</v>
      </c>
    </row>
    <row r="24" spans="1:16" x14ac:dyDescent="0.25">
      <c r="A24" s="34" t="s">
        <v>0</v>
      </c>
      <c r="B24" s="1" t="s">
        <v>1</v>
      </c>
      <c r="C24" s="5"/>
      <c r="D24" s="1" t="s">
        <v>1</v>
      </c>
      <c r="E24" s="1" t="s">
        <v>4</v>
      </c>
      <c r="F24" s="5"/>
      <c r="G24" s="33"/>
    </row>
    <row r="25" spans="1:16" ht="15.75" thickBot="1" x14ac:dyDescent="0.3">
      <c r="A25" s="35" t="s">
        <v>25</v>
      </c>
      <c r="B25" s="3" t="str">
        <f>VLOOKUP(A25,A5:F19,2,0)</f>
        <v>Pooja Mehta</v>
      </c>
      <c r="C25" s="5"/>
      <c r="D25" s="3" t="s">
        <v>75</v>
      </c>
      <c r="E25" s="3">
        <f>VLOOKUP(D25,B4:F19,4,0)</f>
        <v>58000</v>
      </c>
      <c r="F25" s="5"/>
      <c r="G25" s="33"/>
    </row>
    <row r="26" spans="1:16" ht="32.25" thickBot="1" x14ac:dyDescent="0.55000000000000004">
      <c r="A26" s="36"/>
      <c r="B26" s="5"/>
      <c r="C26" s="5"/>
      <c r="D26" s="5"/>
      <c r="E26" s="5"/>
      <c r="F26" s="5"/>
      <c r="G26" s="33"/>
      <c r="I26" s="65" t="s">
        <v>81</v>
      </c>
      <c r="J26" s="66"/>
      <c r="K26" s="66"/>
      <c r="L26" s="66"/>
      <c r="M26" s="66"/>
      <c r="N26" s="66"/>
      <c r="O26" s="66"/>
      <c r="P26" s="67"/>
    </row>
    <row r="27" spans="1:16" x14ac:dyDescent="0.25">
      <c r="A27" s="31" t="s">
        <v>73</v>
      </c>
      <c r="B27" s="5"/>
      <c r="C27" s="5"/>
      <c r="D27" s="32" t="s">
        <v>76</v>
      </c>
      <c r="E27" s="5"/>
      <c r="F27" s="5"/>
      <c r="G27" s="33"/>
      <c r="I27" s="31" t="s">
        <v>82</v>
      </c>
      <c r="J27" s="5"/>
      <c r="K27" s="5"/>
      <c r="L27" s="32" t="s">
        <v>83</v>
      </c>
      <c r="M27" s="5"/>
      <c r="N27" s="5"/>
      <c r="O27" s="5"/>
      <c r="P27" s="33"/>
    </row>
    <row r="28" spans="1:16" ht="45" x14ac:dyDescent="0.25">
      <c r="A28" s="34" t="s">
        <v>0</v>
      </c>
      <c r="B28" s="1" t="s">
        <v>2</v>
      </c>
      <c r="C28" s="5"/>
      <c r="D28" s="1" t="s">
        <v>0</v>
      </c>
      <c r="E28" s="1" t="s">
        <v>3</v>
      </c>
      <c r="F28" s="5"/>
      <c r="G28" s="33"/>
      <c r="I28" s="34" t="s">
        <v>2</v>
      </c>
      <c r="J28" s="4" t="s">
        <v>52</v>
      </c>
      <c r="K28" s="5"/>
      <c r="L28" s="1" t="s">
        <v>2</v>
      </c>
      <c r="M28" s="7" t="s">
        <v>52</v>
      </c>
      <c r="N28" s="5"/>
      <c r="O28" s="5"/>
      <c r="P28" s="33"/>
    </row>
    <row r="29" spans="1:16" x14ac:dyDescent="0.25">
      <c r="A29" s="35" t="s">
        <v>14</v>
      </c>
      <c r="B29" s="3" t="str">
        <f>VLOOKUP(A29,A5:F19,3,0)</f>
        <v>IT</v>
      </c>
      <c r="C29" s="5"/>
      <c r="D29" s="3" t="s">
        <v>28</v>
      </c>
      <c r="E29" s="3" t="str">
        <f>VLOOKUP(D29,A4:F19,4,0)</f>
        <v>Hyderabad</v>
      </c>
      <c r="F29" s="5"/>
      <c r="G29" s="33"/>
      <c r="I29" s="35" t="s">
        <v>16</v>
      </c>
      <c r="J29" s="8">
        <f>HLOOKUP(I29,I4:N5,2,0)</f>
        <v>0.12</v>
      </c>
      <c r="K29" s="5"/>
      <c r="L29" s="3" t="s">
        <v>84</v>
      </c>
      <c r="M29" s="8">
        <f>HLOOKUP(L29,I4:N5,2,0)</f>
        <v>0.15</v>
      </c>
      <c r="N29" s="5"/>
      <c r="O29" s="5"/>
      <c r="P29" s="33"/>
    </row>
    <row r="30" spans="1:16" x14ac:dyDescent="0.25">
      <c r="A30" s="36"/>
      <c r="B30" s="5"/>
      <c r="C30" s="5"/>
      <c r="D30" s="5"/>
      <c r="E30" s="5"/>
      <c r="F30" s="5"/>
      <c r="G30" s="33"/>
      <c r="I30" s="36"/>
      <c r="J30" s="5"/>
      <c r="K30" s="5"/>
      <c r="L30" s="5"/>
      <c r="M30" s="5"/>
      <c r="N30" s="5"/>
      <c r="O30" s="5"/>
      <c r="P30" s="33"/>
    </row>
    <row r="31" spans="1:16" x14ac:dyDescent="0.25">
      <c r="A31" s="31" t="s">
        <v>78</v>
      </c>
      <c r="B31" s="5"/>
      <c r="C31" s="5"/>
      <c r="D31" s="5"/>
      <c r="E31" s="5"/>
      <c r="F31" s="5"/>
      <c r="G31" s="33"/>
      <c r="I31" s="31" t="s">
        <v>85</v>
      </c>
      <c r="J31" s="5"/>
      <c r="K31" s="5"/>
      <c r="L31" s="5"/>
      <c r="M31" s="5"/>
      <c r="N31" s="5"/>
      <c r="O31" s="5"/>
      <c r="P31" s="33"/>
    </row>
    <row r="32" spans="1:16" x14ac:dyDescent="0.25">
      <c r="A32" s="34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46"/>
      <c r="I32" s="60" t="s">
        <v>64</v>
      </c>
      <c r="J32" s="61"/>
      <c r="K32" s="61"/>
      <c r="L32" s="5"/>
      <c r="M32" s="5"/>
      <c r="N32" s="5"/>
      <c r="O32" s="5"/>
      <c r="P32" s="33"/>
    </row>
    <row r="33" spans="1:16" ht="30" x14ac:dyDescent="0.25">
      <c r="A33" s="35" t="s">
        <v>6</v>
      </c>
      <c r="B33" s="3" t="str">
        <f>VLOOKUP($A$33,$A$4:$F$19,COLUMNS($A$32:B32),0)</f>
        <v>Rahul Sharma</v>
      </c>
      <c r="C33" s="3" t="str">
        <f>VLOOKUP($A$33,$A$4:$F$19,COLUMNS($A$32:C32),0)</f>
        <v>Sales</v>
      </c>
      <c r="D33" s="3" t="str">
        <f>VLOOKUP($A$33,$A$4:$F$19,COLUMNS($A$32:D32),0)</f>
        <v>Mumbai</v>
      </c>
      <c r="E33" s="3">
        <f>VLOOKUP($A$33,$A$4:$F$19,COLUMNS($A$32:E32),0)</f>
        <v>45000</v>
      </c>
      <c r="F33" s="3">
        <f>VLOOKUP($A$33,$A$4:$F$19,COLUMNS($A$32:F32),0)</f>
        <v>2019</v>
      </c>
      <c r="G33" s="33"/>
      <c r="I33" s="34" t="s">
        <v>0</v>
      </c>
      <c r="J33" s="1" t="s">
        <v>2</v>
      </c>
      <c r="K33" s="1" t="s">
        <v>4</v>
      </c>
      <c r="L33" s="5"/>
      <c r="M33" s="1" t="s">
        <v>2</v>
      </c>
      <c r="N33" s="7" t="s">
        <v>52</v>
      </c>
      <c r="O33" s="7" t="s">
        <v>87</v>
      </c>
      <c r="P33" s="37" t="s">
        <v>86</v>
      </c>
    </row>
    <row r="34" spans="1:16" x14ac:dyDescent="0.25">
      <c r="A34" s="35" t="s">
        <v>79</v>
      </c>
      <c r="B34" s="3" t="str">
        <f>IFERROR(VLOOKUP($A$34,$A$4:$F$19,COLUMNS($A$32:B33),0)," NOT FOUND ")</f>
        <v xml:space="preserve"> NOT FOUND </v>
      </c>
      <c r="C34" s="3" t="str">
        <f>IFERROR(VLOOKUP($A$34,$A$4:$F$19,COLUMNS($A$32:C33),0)," NOT FOUND ")</f>
        <v xml:space="preserve"> NOT FOUND </v>
      </c>
      <c r="D34" s="3" t="str">
        <f>IFERROR(VLOOKUP($A$34,$A$4:$F$19,COLUMNS($A$32:D33),0)," NOT FOUND ")</f>
        <v xml:space="preserve"> NOT FOUND </v>
      </c>
      <c r="E34" s="3" t="str">
        <f>IFERROR(VLOOKUP($A$34,$A$4:$F$19,COLUMNS($A$32:E33),0)," NOT FOUND ")</f>
        <v xml:space="preserve"> NOT FOUND </v>
      </c>
      <c r="F34" s="3" t="str">
        <f>IFERROR(VLOOKUP($A$34,$A$4:$F$19,COLUMNS($A$32:F33),0)," NOT FOUND ")</f>
        <v xml:space="preserve"> NOT FOUND </v>
      </c>
      <c r="G34" s="33"/>
      <c r="I34" s="35" t="s">
        <v>18</v>
      </c>
      <c r="J34" s="3" t="str" cm="1">
        <f t="array" ref="J34:K34">VLOOKUP(I34,A4:F19,CHOOSE({1,2},3,5),0)</f>
        <v>Finance</v>
      </c>
      <c r="K34" s="3">
        <v>58000</v>
      </c>
      <c r="L34" s="5"/>
      <c r="M34" s="3" t="s">
        <v>84</v>
      </c>
      <c r="N34" s="8">
        <f>HLOOKUP(M34,I4:N5,2,0)</f>
        <v>0.15</v>
      </c>
      <c r="O34" s="9">
        <v>0.15</v>
      </c>
      <c r="P34" s="38">
        <f>K34*O34</f>
        <v>8700</v>
      </c>
    </row>
    <row r="35" spans="1:16" x14ac:dyDescent="0.25">
      <c r="A35" s="36"/>
      <c r="B35" s="5"/>
      <c r="C35" s="5"/>
      <c r="D35" s="5"/>
      <c r="E35" s="5"/>
      <c r="F35" s="5"/>
      <c r="G35" s="33"/>
      <c r="I35" s="36"/>
      <c r="J35" s="5"/>
      <c r="K35" s="5"/>
      <c r="L35" s="5"/>
      <c r="M35" s="5"/>
      <c r="N35" s="5"/>
      <c r="O35" s="5"/>
      <c r="P35" s="33"/>
    </row>
    <row r="36" spans="1:16" x14ac:dyDescent="0.25">
      <c r="A36" s="31" t="s">
        <v>80</v>
      </c>
      <c r="B36" s="5"/>
      <c r="C36" s="5"/>
      <c r="D36" s="5"/>
      <c r="E36" s="5"/>
      <c r="F36" s="5"/>
      <c r="G36" s="33"/>
      <c r="I36" s="31" t="s">
        <v>88</v>
      </c>
      <c r="J36" s="5"/>
      <c r="K36" s="5"/>
      <c r="L36" s="5"/>
      <c r="M36" s="5"/>
      <c r="N36" s="5"/>
      <c r="O36" s="5"/>
      <c r="P36" s="33"/>
    </row>
    <row r="37" spans="1:16" x14ac:dyDescent="0.25">
      <c r="A37" s="34" t="s">
        <v>0</v>
      </c>
      <c r="B37" s="1" t="s">
        <v>5</v>
      </c>
      <c r="C37" s="5"/>
      <c r="D37" s="5"/>
      <c r="E37" s="5"/>
      <c r="F37" s="5"/>
      <c r="G37" s="33"/>
      <c r="I37" s="34" t="s">
        <v>2</v>
      </c>
      <c r="J37" s="7" t="s">
        <v>52</v>
      </c>
      <c r="K37" s="5"/>
      <c r="L37" s="5"/>
      <c r="M37" s="5"/>
      <c r="N37" s="5"/>
      <c r="O37" s="5"/>
      <c r="P37" s="33"/>
    </row>
    <row r="38" spans="1:16" x14ac:dyDescent="0.25">
      <c r="A38" s="35" t="s">
        <v>6</v>
      </c>
      <c r="B38" s="3">
        <f>VLOOKUP(A38,A4:F19,6,0)</f>
        <v>2019</v>
      </c>
      <c r="C38" s="5"/>
      <c r="D38" s="5"/>
      <c r="E38" s="5"/>
      <c r="F38" s="5"/>
      <c r="G38" s="33"/>
      <c r="I38" s="35" t="s">
        <v>89</v>
      </c>
      <c r="J38" s="8" t="str">
        <f>IFERROR(HLOOKUP(I38,I4:N5,2,0)," NO BONUS DATA ")</f>
        <v xml:space="preserve"> NO BONUS DATA </v>
      </c>
      <c r="K38" s="5"/>
      <c r="L38" s="5"/>
      <c r="M38" s="5"/>
      <c r="N38" s="5"/>
      <c r="O38" s="5"/>
      <c r="P38" s="33"/>
    </row>
    <row r="39" spans="1:16" ht="15.75" thickBot="1" x14ac:dyDescent="0.3">
      <c r="A39" s="44"/>
      <c r="B39" s="39"/>
      <c r="C39" s="39"/>
      <c r="D39" s="39"/>
      <c r="E39" s="39"/>
      <c r="F39" s="39"/>
      <c r="G39" s="40"/>
      <c r="I39" s="44"/>
      <c r="J39" s="39"/>
      <c r="K39" s="39"/>
      <c r="L39" s="39"/>
      <c r="M39" s="39"/>
      <c r="N39" s="39"/>
      <c r="O39" s="39"/>
      <c r="P39" s="40"/>
    </row>
    <row r="41" spans="1:16" ht="15.75" thickBot="1" x14ac:dyDescent="0.3"/>
    <row r="42" spans="1:16" ht="32.25" thickBot="1" x14ac:dyDescent="0.55000000000000004">
      <c r="A42" s="51" t="s">
        <v>90</v>
      </c>
      <c r="B42" s="52"/>
      <c r="C42" s="52"/>
      <c r="D42" s="52"/>
      <c r="E42" s="52"/>
      <c r="F42" s="52"/>
      <c r="G42" s="52"/>
      <c r="H42" s="52"/>
      <c r="I42" s="52"/>
      <c r="J42" s="53"/>
    </row>
    <row r="43" spans="1:16" x14ac:dyDescent="0.25">
      <c r="A43" s="31" t="s">
        <v>91</v>
      </c>
      <c r="B43" s="5"/>
      <c r="C43" s="5"/>
      <c r="D43" s="32" t="s">
        <v>92</v>
      </c>
      <c r="E43" s="5"/>
      <c r="F43" s="5"/>
      <c r="G43" s="5"/>
      <c r="H43" s="5"/>
      <c r="I43" s="5"/>
      <c r="J43" s="33"/>
    </row>
    <row r="44" spans="1:16" x14ac:dyDescent="0.25">
      <c r="A44" s="34" t="s">
        <v>0</v>
      </c>
      <c r="B44" s="1" t="s">
        <v>4</v>
      </c>
      <c r="C44" s="5"/>
      <c r="D44" s="1" t="s">
        <v>0</v>
      </c>
      <c r="E44" s="1" t="s">
        <v>1</v>
      </c>
      <c r="F44" s="1" t="s">
        <v>2</v>
      </c>
      <c r="G44" s="5"/>
      <c r="H44" s="5"/>
      <c r="I44" s="5"/>
      <c r="J44" s="33"/>
    </row>
    <row r="45" spans="1:16" x14ac:dyDescent="0.25">
      <c r="A45" s="35" t="s">
        <v>38</v>
      </c>
      <c r="B45" s="3">
        <f>_xlfn.XLOOKUP(A45,A4:A19,E4:E19)</f>
        <v>68000</v>
      </c>
      <c r="C45" s="5"/>
      <c r="D45" s="3" t="s">
        <v>10</v>
      </c>
      <c r="E45" s="3" t="str" cm="1">
        <f t="array" ref="E45:F45">_xlfn.XLOOKUP(D45,A4:A19,B4:C19)</f>
        <v>Ananya Gupta</v>
      </c>
      <c r="F45" s="3" t="str">
        <v>HR</v>
      </c>
      <c r="G45" s="5"/>
      <c r="H45" s="5"/>
      <c r="I45" s="5"/>
      <c r="J45" s="33"/>
    </row>
    <row r="46" spans="1:16" x14ac:dyDescent="0.25">
      <c r="A46" s="36"/>
      <c r="B46" s="5"/>
      <c r="C46" s="5"/>
      <c r="D46" s="5"/>
      <c r="E46" s="5"/>
      <c r="F46" s="5"/>
      <c r="G46" s="5"/>
      <c r="H46" s="5"/>
      <c r="I46" s="5"/>
      <c r="J46" s="33"/>
    </row>
    <row r="47" spans="1:16" x14ac:dyDescent="0.25">
      <c r="A47" s="31" t="s">
        <v>93</v>
      </c>
      <c r="B47" s="5"/>
      <c r="C47" s="5"/>
      <c r="D47" s="5"/>
      <c r="E47" s="32" t="s">
        <v>94</v>
      </c>
      <c r="F47" s="5"/>
      <c r="G47" s="5"/>
      <c r="H47" s="5"/>
      <c r="I47" s="5"/>
      <c r="J47" s="33"/>
    </row>
    <row r="48" spans="1:16" x14ac:dyDescent="0.25">
      <c r="A48" s="34" t="s">
        <v>1</v>
      </c>
      <c r="B48" s="1" t="s">
        <v>3</v>
      </c>
      <c r="C48" s="1" t="s">
        <v>0</v>
      </c>
      <c r="D48" s="5"/>
      <c r="E48" s="10" t="s">
        <v>0</v>
      </c>
      <c r="F48" s="10" t="s">
        <v>1</v>
      </c>
      <c r="G48" s="10" t="s">
        <v>2</v>
      </c>
      <c r="H48" s="10" t="s">
        <v>3</v>
      </c>
      <c r="I48" s="10" t="s">
        <v>4</v>
      </c>
      <c r="J48" s="41" t="s">
        <v>5</v>
      </c>
    </row>
    <row r="49" spans="1:10" x14ac:dyDescent="0.25">
      <c r="A49" s="42" t="s">
        <v>15</v>
      </c>
      <c r="B49" s="3" t="str" cm="1">
        <f t="array" ref="B49:C49">_xlfn.XLOOKUP(A49,B4:B19,CHOOSE({1,2},D4:D19,A4:A18))</f>
        <v>Bangalore</v>
      </c>
      <c r="C49" s="3" t="str">
        <v>E103</v>
      </c>
      <c r="D49" s="5"/>
      <c r="E49" s="3" t="s">
        <v>6</v>
      </c>
      <c r="F49" s="3" t="str" cm="1">
        <f t="array" ref="F49:J49">_xlfn.XLOOKUP(E49,A4:A19,B4:F19," Employee Not Found ")</f>
        <v>Rahul Sharma</v>
      </c>
      <c r="G49" s="3" t="str">
        <v>Sales</v>
      </c>
      <c r="H49" s="3" t="str">
        <v>Mumbai</v>
      </c>
      <c r="I49" s="3">
        <v>45000</v>
      </c>
      <c r="J49" s="38">
        <v>2019</v>
      </c>
    </row>
    <row r="50" spans="1:10" x14ac:dyDescent="0.25">
      <c r="A50" s="36"/>
      <c r="B50" s="5"/>
      <c r="C50" s="5"/>
      <c r="D50" s="5"/>
      <c r="E50" s="3" t="s">
        <v>95</v>
      </c>
      <c r="F50" s="3" t="str" cm="1">
        <f t="array" ref="F50">_xlfn.XLOOKUP(E50,A4:A19,B4:F19," Employee Not Found ")</f>
        <v xml:space="preserve"> Employee Not Found </v>
      </c>
      <c r="G50" s="3" t="str" cm="1">
        <f t="array" ref="G50">_xlfn.XLOOKUP(F50,B4:B19,C4:G19," Employee Not Found ")</f>
        <v xml:space="preserve"> Employee Not Found </v>
      </c>
      <c r="H50" s="3" t="str" cm="1">
        <f t="array" ref="H50">_xlfn.XLOOKUP(G50,C4:C19,D4:H19," Employee Not Found ")</f>
        <v xml:space="preserve"> Employee Not Found </v>
      </c>
      <c r="I50" s="3" t="str" cm="1">
        <f t="array" ref="I50">_xlfn.XLOOKUP(H50,D4:D19,E4:I19," Employee Not Found ")</f>
        <v xml:space="preserve"> Employee Not Found </v>
      </c>
      <c r="J50" s="38" t="str" cm="1">
        <f t="array" ref="J50">_xlfn.XLOOKUP(I50,E4:E19,F4:J19," Employee Not Found ")</f>
        <v xml:space="preserve"> Employee Not Found </v>
      </c>
    </row>
    <row r="51" spans="1:10" x14ac:dyDescent="0.25">
      <c r="A51" s="36"/>
      <c r="B51" s="5"/>
      <c r="C51" s="5"/>
      <c r="D51" s="5"/>
      <c r="E51" s="5"/>
      <c r="F51" s="5"/>
      <c r="G51" s="5"/>
      <c r="H51" s="5"/>
      <c r="I51" s="5"/>
      <c r="J51" s="33"/>
    </row>
    <row r="52" spans="1:10" x14ac:dyDescent="0.25">
      <c r="A52" s="31" t="s">
        <v>96</v>
      </c>
      <c r="B52" s="5"/>
      <c r="C52" s="5"/>
      <c r="D52" s="5"/>
      <c r="E52" s="5"/>
      <c r="F52" s="5"/>
      <c r="G52" s="5"/>
      <c r="H52" s="5"/>
      <c r="I52" s="5"/>
      <c r="J52" s="33"/>
    </row>
    <row r="53" spans="1:10" x14ac:dyDescent="0.25">
      <c r="A53" s="43" t="s">
        <v>2</v>
      </c>
      <c r="B53" s="7" t="s">
        <v>52</v>
      </c>
      <c r="C53" s="5"/>
      <c r="D53" s="5"/>
      <c r="E53" s="5"/>
      <c r="F53" s="5"/>
      <c r="G53" s="5"/>
      <c r="H53" s="5"/>
      <c r="I53" s="5"/>
      <c r="J53" s="33"/>
    </row>
    <row r="54" spans="1:10" x14ac:dyDescent="0.25">
      <c r="A54" s="35" t="s">
        <v>12</v>
      </c>
      <c r="B54" s="8">
        <f>_xlfn.XLOOKUP(A54,I4:N4,I5:N5)</f>
        <v>0.08</v>
      </c>
      <c r="C54" s="5"/>
      <c r="D54" s="5"/>
      <c r="E54" s="5"/>
      <c r="F54" s="5"/>
      <c r="G54" s="5"/>
      <c r="H54" s="5"/>
      <c r="I54" s="5"/>
      <c r="J54" s="33"/>
    </row>
    <row r="55" spans="1:10" ht="15.75" thickBot="1" x14ac:dyDescent="0.3">
      <c r="A55" s="44"/>
      <c r="B55" s="39"/>
      <c r="C55" s="39"/>
      <c r="D55" s="39"/>
      <c r="E55" s="39"/>
      <c r="F55" s="39"/>
      <c r="G55" s="39"/>
      <c r="H55" s="39"/>
      <c r="I55" s="39"/>
      <c r="J55" s="40"/>
    </row>
  </sheetData>
  <autoFilter ref="A4:F19" xr:uid="{E0904B99-A43D-4909-AC07-F6E04F957755}"/>
  <mergeCells count="7">
    <mergeCell ref="A42:J42"/>
    <mergeCell ref="A1:P1"/>
    <mergeCell ref="A3:F3"/>
    <mergeCell ref="I3:N3"/>
    <mergeCell ref="I32:K32"/>
    <mergeCell ref="A22:G22"/>
    <mergeCell ref="I26:P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CD4C-A633-4E29-9F08-D6393F5E8B86}">
  <dimension ref="A1:I31"/>
  <sheetViews>
    <sheetView workbookViewId="0">
      <selection activeCell="E4" sqref="E4"/>
    </sheetView>
  </sheetViews>
  <sheetFormatPr defaultRowHeight="15" x14ac:dyDescent="0.25"/>
  <cols>
    <col min="1" max="1" width="8.7109375" bestFit="1" customWidth="1"/>
    <col min="2" max="2" width="9.5703125" bestFit="1" customWidth="1"/>
    <col min="3" max="3" width="12.140625" bestFit="1" customWidth="1"/>
    <col min="4" max="4" width="4.140625" bestFit="1" customWidth="1"/>
    <col min="5" max="5" width="10.7109375" bestFit="1" customWidth="1"/>
    <col min="6" max="6" width="12.140625" customWidth="1"/>
    <col min="9" max="9" width="68" bestFit="1" customWidth="1"/>
  </cols>
  <sheetData>
    <row r="1" spans="1:9" ht="15.75" thickBot="1" x14ac:dyDescent="0.3">
      <c r="A1" s="68" t="s">
        <v>99</v>
      </c>
      <c r="B1" s="69" t="s">
        <v>100</v>
      </c>
      <c r="C1" s="69" t="s">
        <v>101</v>
      </c>
      <c r="D1" s="69" t="s">
        <v>102</v>
      </c>
      <c r="E1" s="69" t="s">
        <v>103</v>
      </c>
      <c r="F1" s="70" t="s">
        <v>104</v>
      </c>
    </row>
    <row r="2" spans="1:9" ht="16.5" x14ac:dyDescent="0.25">
      <c r="A2" s="76" t="s">
        <v>105</v>
      </c>
      <c r="B2" s="78" t="s">
        <v>106</v>
      </c>
      <c r="C2" s="78" t="s">
        <v>107</v>
      </c>
      <c r="D2" s="78">
        <v>2</v>
      </c>
      <c r="E2" s="74">
        <v>45000</v>
      </c>
      <c r="F2" s="80" t="s">
        <v>108</v>
      </c>
      <c r="I2" s="71" t="s">
        <v>177</v>
      </c>
    </row>
    <row r="3" spans="1:9" ht="16.5" x14ac:dyDescent="0.25">
      <c r="A3" s="76" t="s">
        <v>109</v>
      </c>
      <c r="B3" s="78" t="s">
        <v>110</v>
      </c>
      <c r="C3" s="78" t="s">
        <v>111</v>
      </c>
      <c r="D3" s="78">
        <v>5</v>
      </c>
      <c r="E3" s="74">
        <v>700</v>
      </c>
      <c r="F3" s="80" t="s">
        <v>112</v>
      </c>
      <c r="I3" s="72" t="s">
        <v>178</v>
      </c>
    </row>
    <row r="4" spans="1:9" ht="16.5" x14ac:dyDescent="0.25">
      <c r="A4" s="76" t="s">
        <v>113</v>
      </c>
      <c r="B4" s="78" t="s">
        <v>114</v>
      </c>
      <c r="C4" s="78" t="s">
        <v>115</v>
      </c>
      <c r="D4" s="78">
        <v>3</v>
      </c>
      <c r="E4" s="74">
        <v>1500</v>
      </c>
      <c r="F4" s="80" t="s">
        <v>108</v>
      </c>
      <c r="I4" s="72"/>
    </row>
    <row r="5" spans="1:9" ht="16.5" x14ac:dyDescent="0.25">
      <c r="A5" s="76" t="s">
        <v>116</v>
      </c>
      <c r="B5" s="78" t="s">
        <v>117</v>
      </c>
      <c r="C5" s="78" t="s">
        <v>118</v>
      </c>
      <c r="D5" s="78">
        <v>1</v>
      </c>
      <c r="E5" s="74">
        <v>18000</v>
      </c>
      <c r="F5" s="80" t="s">
        <v>119</v>
      </c>
      <c r="I5" s="72" t="s">
        <v>179</v>
      </c>
    </row>
    <row r="6" spans="1:9" ht="16.5" x14ac:dyDescent="0.25">
      <c r="A6" s="76" t="s">
        <v>120</v>
      </c>
      <c r="B6" s="78" t="s">
        <v>121</v>
      </c>
      <c r="C6" s="78" t="s">
        <v>122</v>
      </c>
      <c r="D6" s="78">
        <v>2</v>
      </c>
      <c r="E6" s="74">
        <v>12000</v>
      </c>
      <c r="F6" s="80" t="s">
        <v>108</v>
      </c>
      <c r="I6" s="72" t="s">
        <v>180</v>
      </c>
    </row>
    <row r="7" spans="1:9" ht="16.5" x14ac:dyDescent="0.25">
      <c r="A7" s="76" t="s">
        <v>123</v>
      </c>
      <c r="B7" s="78" t="s">
        <v>124</v>
      </c>
      <c r="C7" s="78" t="s">
        <v>125</v>
      </c>
      <c r="D7" s="78">
        <v>4</v>
      </c>
      <c r="E7" s="74">
        <v>2500</v>
      </c>
      <c r="F7" s="80" t="s">
        <v>112</v>
      </c>
      <c r="I7" s="72" t="s">
        <v>181</v>
      </c>
    </row>
    <row r="8" spans="1:9" ht="16.5" x14ac:dyDescent="0.25">
      <c r="A8" s="76" t="s">
        <v>126</v>
      </c>
      <c r="B8" s="78" t="s">
        <v>127</v>
      </c>
      <c r="C8" s="78" t="s">
        <v>128</v>
      </c>
      <c r="D8" s="78">
        <v>3</v>
      </c>
      <c r="E8" s="74">
        <v>3500</v>
      </c>
      <c r="F8" s="80" t="s">
        <v>108</v>
      </c>
      <c r="I8" s="72" t="s">
        <v>182</v>
      </c>
    </row>
    <row r="9" spans="1:9" ht="16.5" x14ac:dyDescent="0.25">
      <c r="A9" s="76" t="s">
        <v>129</v>
      </c>
      <c r="B9" s="78" t="s">
        <v>130</v>
      </c>
      <c r="C9" s="78" t="s">
        <v>131</v>
      </c>
      <c r="D9" s="78">
        <v>2</v>
      </c>
      <c r="E9" s="74">
        <v>6000</v>
      </c>
      <c r="F9" s="80" t="s">
        <v>132</v>
      </c>
      <c r="I9" s="72" t="s">
        <v>183</v>
      </c>
    </row>
    <row r="10" spans="1:9" ht="16.5" x14ac:dyDescent="0.25">
      <c r="A10" s="76" t="s">
        <v>133</v>
      </c>
      <c r="B10" s="78" t="s">
        <v>134</v>
      </c>
      <c r="C10" s="78" t="s">
        <v>107</v>
      </c>
      <c r="D10" s="78">
        <v>1</v>
      </c>
      <c r="E10" s="74">
        <v>55000</v>
      </c>
      <c r="F10" s="80" t="s">
        <v>108</v>
      </c>
      <c r="I10" s="72" t="s">
        <v>186</v>
      </c>
    </row>
    <row r="11" spans="1:9" ht="16.5" x14ac:dyDescent="0.25">
      <c r="A11" s="76" t="s">
        <v>135</v>
      </c>
      <c r="B11" s="78" t="s">
        <v>136</v>
      </c>
      <c r="C11" s="78" t="s">
        <v>111</v>
      </c>
      <c r="D11" s="78">
        <v>10</v>
      </c>
      <c r="E11" s="74">
        <v>650</v>
      </c>
      <c r="F11" s="80" t="s">
        <v>112</v>
      </c>
      <c r="I11" s="72" t="s">
        <v>187</v>
      </c>
    </row>
    <row r="12" spans="1:9" ht="16.5" x14ac:dyDescent="0.25">
      <c r="A12" s="76" t="s">
        <v>137</v>
      </c>
      <c r="B12" s="78" t="s">
        <v>138</v>
      </c>
      <c r="C12" s="78" t="s">
        <v>115</v>
      </c>
      <c r="D12" s="78">
        <v>5</v>
      </c>
      <c r="E12" s="74">
        <v>1400</v>
      </c>
      <c r="F12" s="80" t="s">
        <v>108</v>
      </c>
      <c r="I12" s="72" t="s">
        <v>188</v>
      </c>
    </row>
    <row r="13" spans="1:9" ht="16.5" x14ac:dyDescent="0.25">
      <c r="A13" s="76" t="s">
        <v>139</v>
      </c>
      <c r="B13" s="78" t="s">
        <v>140</v>
      </c>
      <c r="C13" s="78" t="s">
        <v>118</v>
      </c>
      <c r="D13" s="78">
        <v>2</v>
      </c>
      <c r="E13" s="74">
        <v>17000</v>
      </c>
      <c r="F13" s="80" t="s">
        <v>132</v>
      </c>
      <c r="I13" s="72" t="s">
        <v>189</v>
      </c>
    </row>
    <row r="14" spans="1:9" ht="16.5" x14ac:dyDescent="0.25">
      <c r="A14" s="76" t="s">
        <v>141</v>
      </c>
      <c r="B14" s="78" t="s">
        <v>142</v>
      </c>
      <c r="C14" s="78" t="s">
        <v>122</v>
      </c>
      <c r="D14" s="78">
        <v>1</v>
      </c>
      <c r="E14" s="74">
        <v>11500</v>
      </c>
      <c r="F14" s="80" t="s">
        <v>119</v>
      </c>
      <c r="I14" s="72"/>
    </row>
    <row r="15" spans="1:9" ht="16.5" x14ac:dyDescent="0.25">
      <c r="A15" s="76" t="s">
        <v>143</v>
      </c>
      <c r="B15" s="78" t="s">
        <v>144</v>
      </c>
      <c r="C15" s="78" t="s">
        <v>125</v>
      </c>
      <c r="D15" s="78">
        <v>3</v>
      </c>
      <c r="E15" s="74">
        <v>2300</v>
      </c>
      <c r="F15" s="80" t="s">
        <v>108</v>
      </c>
      <c r="I15" s="72" t="s">
        <v>184</v>
      </c>
    </row>
    <row r="16" spans="1:9" ht="17.25" thickBot="1" x14ac:dyDescent="0.3">
      <c r="A16" s="76" t="s">
        <v>145</v>
      </c>
      <c r="B16" s="78" t="s">
        <v>146</v>
      </c>
      <c r="C16" s="78" t="s">
        <v>131</v>
      </c>
      <c r="D16" s="78">
        <v>4</v>
      </c>
      <c r="E16" s="74">
        <v>5800</v>
      </c>
      <c r="F16" s="80" t="s">
        <v>112</v>
      </c>
      <c r="I16" s="73" t="s">
        <v>185</v>
      </c>
    </row>
    <row r="17" spans="1:6" x14ac:dyDescent="0.25">
      <c r="A17" s="76" t="s">
        <v>147</v>
      </c>
      <c r="B17" s="78" t="s">
        <v>148</v>
      </c>
      <c r="C17" s="78" t="s">
        <v>128</v>
      </c>
      <c r="D17" s="78">
        <v>2</v>
      </c>
      <c r="E17" s="74">
        <v>3200</v>
      </c>
      <c r="F17" s="80" t="s">
        <v>108</v>
      </c>
    </row>
    <row r="18" spans="1:6" x14ac:dyDescent="0.25">
      <c r="A18" s="76" t="s">
        <v>149</v>
      </c>
      <c r="B18" s="78" t="s">
        <v>150</v>
      </c>
      <c r="C18" s="78" t="s">
        <v>107</v>
      </c>
      <c r="D18" s="78">
        <v>1</v>
      </c>
      <c r="E18" s="74">
        <v>48000</v>
      </c>
      <c r="F18" s="80" t="s">
        <v>132</v>
      </c>
    </row>
    <row r="19" spans="1:6" x14ac:dyDescent="0.25">
      <c r="A19" s="76" t="s">
        <v>151</v>
      </c>
      <c r="B19" s="78" t="s">
        <v>152</v>
      </c>
      <c r="C19" s="78" t="s">
        <v>111</v>
      </c>
      <c r="D19" s="78">
        <v>8</v>
      </c>
      <c r="E19" s="74">
        <v>750</v>
      </c>
      <c r="F19" s="80" t="s">
        <v>108</v>
      </c>
    </row>
    <row r="20" spans="1:6" x14ac:dyDescent="0.25">
      <c r="A20" s="76" t="s">
        <v>153</v>
      </c>
      <c r="B20" s="78" t="s">
        <v>154</v>
      </c>
      <c r="C20" s="78" t="s">
        <v>115</v>
      </c>
      <c r="D20" s="78">
        <v>6</v>
      </c>
      <c r="E20" s="74">
        <v>1600</v>
      </c>
      <c r="F20" s="80" t="s">
        <v>112</v>
      </c>
    </row>
    <row r="21" spans="1:6" x14ac:dyDescent="0.25">
      <c r="A21" s="76" t="s">
        <v>155</v>
      </c>
      <c r="B21" s="78" t="s">
        <v>156</v>
      </c>
      <c r="C21" s="78" t="s">
        <v>118</v>
      </c>
      <c r="D21" s="78">
        <v>1</v>
      </c>
      <c r="E21" s="74">
        <v>20000</v>
      </c>
      <c r="F21" s="80" t="s">
        <v>108</v>
      </c>
    </row>
    <row r="22" spans="1:6" x14ac:dyDescent="0.25">
      <c r="A22" s="76" t="s">
        <v>157</v>
      </c>
      <c r="B22" s="78" t="s">
        <v>158</v>
      </c>
      <c r="C22" s="78" t="s">
        <v>122</v>
      </c>
      <c r="D22" s="78">
        <v>2</v>
      </c>
      <c r="E22" s="74">
        <v>12500</v>
      </c>
      <c r="F22" s="80" t="s">
        <v>108</v>
      </c>
    </row>
    <row r="23" spans="1:6" x14ac:dyDescent="0.25">
      <c r="A23" s="76" t="s">
        <v>159</v>
      </c>
      <c r="B23" s="78" t="s">
        <v>160</v>
      </c>
      <c r="C23" s="78" t="s">
        <v>125</v>
      </c>
      <c r="D23" s="78">
        <v>5</v>
      </c>
      <c r="E23" s="74">
        <v>2400</v>
      </c>
      <c r="F23" s="80" t="s">
        <v>119</v>
      </c>
    </row>
    <row r="24" spans="1:6" x14ac:dyDescent="0.25">
      <c r="A24" s="76" t="s">
        <v>161</v>
      </c>
      <c r="B24" s="78" t="s">
        <v>162</v>
      </c>
      <c r="C24" s="78" t="s">
        <v>131</v>
      </c>
      <c r="D24" s="78">
        <v>3</v>
      </c>
      <c r="E24" s="74">
        <v>6200</v>
      </c>
      <c r="F24" s="80" t="s">
        <v>132</v>
      </c>
    </row>
    <row r="25" spans="1:6" x14ac:dyDescent="0.25">
      <c r="A25" s="76" t="s">
        <v>163</v>
      </c>
      <c r="B25" s="78" t="s">
        <v>164</v>
      </c>
      <c r="C25" s="78" t="s">
        <v>128</v>
      </c>
      <c r="D25" s="78">
        <v>4</v>
      </c>
      <c r="E25" s="74">
        <v>3400</v>
      </c>
      <c r="F25" s="80" t="s">
        <v>108</v>
      </c>
    </row>
    <row r="26" spans="1:6" x14ac:dyDescent="0.25">
      <c r="A26" s="76" t="s">
        <v>165</v>
      </c>
      <c r="B26" s="78" t="s">
        <v>166</v>
      </c>
      <c r="C26" s="78" t="s">
        <v>107</v>
      </c>
      <c r="D26" s="78">
        <v>2</v>
      </c>
      <c r="E26" s="74">
        <v>47000</v>
      </c>
      <c r="F26" s="80" t="s">
        <v>112</v>
      </c>
    </row>
    <row r="27" spans="1:6" x14ac:dyDescent="0.25">
      <c r="A27" s="76" t="s">
        <v>167</v>
      </c>
      <c r="B27" s="78" t="s">
        <v>168</v>
      </c>
      <c r="C27" s="78" t="s">
        <v>111</v>
      </c>
      <c r="D27" s="78">
        <v>6</v>
      </c>
      <c r="E27" s="74">
        <v>800</v>
      </c>
      <c r="F27" s="80" t="s">
        <v>108</v>
      </c>
    </row>
    <row r="28" spans="1:6" x14ac:dyDescent="0.25">
      <c r="A28" s="76" t="s">
        <v>169</v>
      </c>
      <c r="B28" s="78" t="s">
        <v>170</v>
      </c>
      <c r="C28" s="78" t="s">
        <v>115</v>
      </c>
      <c r="D28" s="78">
        <v>2</v>
      </c>
      <c r="E28" s="74">
        <v>1550</v>
      </c>
      <c r="F28" s="80" t="s">
        <v>132</v>
      </c>
    </row>
    <row r="29" spans="1:6" x14ac:dyDescent="0.25">
      <c r="A29" s="76" t="s">
        <v>171</v>
      </c>
      <c r="B29" s="78" t="s">
        <v>172</v>
      </c>
      <c r="C29" s="78" t="s">
        <v>118</v>
      </c>
      <c r="D29" s="78">
        <v>3</v>
      </c>
      <c r="E29" s="74">
        <v>18500</v>
      </c>
      <c r="F29" s="80" t="s">
        <v>108</v>
      </c>
    </row>
    <row r="30" spans="1:6" x14ac:dyDescent="0.25">
      <c r="A30" s="76" t="s">
        <v>173</v>
      </c>
      <c r="B30" s="78" t="s">
        <v>174</v>
      </c>
      <c r="C30" s="78" t="s">
        <v>122</v>
      </c>
      <c r="D30" s="78">
        <v>1</v>
      </c>
      <c r="E30" s="74">
        <v>13000</v>
      </c>
      <c r="F30" s="80" t="s">
        <v>112</v>
      </c>
    </row>
    <row r="31" spans="1:6" ht="15.75" thickBot="1" x14ac:dyDescent="0.3">
      <c r="A31" s="77" t="s">
        <v>175</v>
      </c>
      <c r="B31" s="79" t="s">
        <v>176</v>
      </c>
      <c r="C31" s="79" t="s">
        <v>131</v>
      </c>
      <c r="D31" s="79">
        <v>5</v>
      </c>
      <c r="E31" s="75">
        <v>6100</v>
      </c>
      <c r="F31" s="81" t="s">
        <v>108</v>
      </c>
    </row>
  </sheetData>
  <autoFilter ref="A1:F31" xr:uid="{B6CACD4C-A633-4E29-9F08-D6393F5E8B86}"/>
  <conditionalFormatting sqref="F2:F31">
    <cfRule type="cellIs" dxfId="0" priority="4" operator="equal">
      <formula>"Cancelled"</formula>
    </cfRule>
    <cfRule type="cellIs" dxfId="1" priority="3" operator="equal">
      <formula>"Delivered"</formula>
    </cfRule>
    <cfRule type="cellIs" dxfId="2" priority="2" operator="equal">
      <formula>"Pending"</formula>
    </cfRule>
    <cfRule type="cellIs" dxfId="3" priority="1" operator="equal">
      <formula>"Shipped"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Functions</vt:lpstr>
      <vt:lpstr>E-Commerce Order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2026-07-12T07:58:09Z</dcterms:created>
  <dcterms:modified xsi:type="dcterms:W3CDTF">2026-07-12T09:58:12Z</dcterms:modified>
</cp:coreProperties>
</file>