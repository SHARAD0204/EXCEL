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28\Desktop\SHARAD-DA 18\EXCEL\"/>
    </mc:Choice>
  </mc:AlternateContent>
  <xr:revisionPtr revIDLastSave="0" documentId="8_{9F6BF917-5D7D-4F9B-B898-A57483D07186}" xr6:coauthVersionLast="47" xr6:coauthVersionMax="47" xr10:uidLastSave="{00000000-0000-0000-0000-000000000000}"/>
  <bookViews>
    <workbookView xWindow="-120" yWindow="-120" windowWidth="20730" windowHeight="11040" xr2:uid="{BA10367E-6A33-4170-B517-9D234F104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 a="1"/>
  <c r="I9" i="1" s="1"/>
  <c r="I10" i="1" a="1"/>
  <c r="I10" i="1" s="1"/>
  <c r="I15" i="1" a="1"/>
  <c r="I15" i="1" s="1"/>
  <c r="I11" i="1" a="1"/>
  <c r="I11" i="1" s="1"/>
  <c r="J5" i="1"/>
  <c r="K5" i="1"/>
  <c r="L5" i="1"/>
  <c r="I5" i="1"/>
  <c r="J3" i="1"/>
  <c r="K3" i="1"/>
  <c r="L3" i="1"/>
  <c r="I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<sst xmlns="http://schemas.openxmlformats.org/spreadsheetml/2006/main" count="158" uniqueCount="61">
  <si>
    <t>Employee ID</t>
  </si>
  <si>
    <t>Name</t>
  </si>
  <si>
    <t>Department</t>
  </si>
  <si>
    <t>City</t>
  </si>
  <si>
    <t>Salary</t>
  </si>
  <si>
    <t>E001</t>
  </si>
  <si>
    <t>Amit Sharma</t>
  </si>
  <si>
    <t>HR</t>
  </si>
  <si>
    <t>Mumbai</t>
  </si>
  <si>
    <t>E002</t>
  </si>
  <si>
    <t>Priya Patel</t>
  </si>
  <si>
    <t>Finance</t>
  </si>
  <si>
    <t>Ahmedabad</t>
  </si>
  <si>
    <t>E003</t>
  </si>
  <si>
    <t>Rahul Verma</t>
  </si>
  <si>
    <t>IT</t>
  </si>
  <si>
    <t>Bengaluru</t>
  </si>
  <si>
    <t>E004</t>
  </si>
  <si>
    <t>Neha Singh</t>
  </si>
  <si>
    <t>Marketing</t>
  </si>
  <si>
    <t>Delhi</t>
  </si>
  <si>
    <t>E005</t>
  </si>
  <si>
    <t>Arjun Mehta</t>
  </si>
  <si>
    <t>Sales</t>
  </si>
  <si>
    <t>Pune</t>
  </si>
  <si>
    <t>E006</t>
  </si>
  <si>
    <t>Sneha Joshi</t>
  </si>
  <si>
    <t>Hyderabad</t>
  </si>
  <si>
    <t>E007</t>
  </si>
  <si>
    <t>Karan Shah</t>
  </si>
  <si>
    <t>Surat</t>
  </si>
  <si>
    <t>E008</t>
  </si>
  <si>
    <t>Riya Kapoor</t>
  </si>
  <si>
    <t>Jaipur</t>
  </si>
  <si>
    <t>E009</t>
  </si>
  <si>
    <t>Mohit Gupta</t>
  </si>
  <si>
    <t>Chandigarh</t>
  </si>
  <si>
    <t>E010</t>
  </si>
  <si>
    <t>Ananya Iyer</t>
  </si>
  <si>
    <t>Chennai</t>
  </si>
  <si>
    <t>E011</t>
  </si>
  <si>
    <t>Vivek Nair</t>
  </si>
  <si>
    <t>Kochi</t>
  </si>
  <si>
    <t>E012</t>
  </si>
  <si>
    <t>Pooja Desai</t>
  </si>
  <si>
    <t>Vadodara</t>
  </si>
  <si>
    <t>E013</t>
  </si>
  <si>
    <t>Sandeep Kumar</t>
  </si>
  <si>
    <t>Operations</t>
  </si>
  <si>
    <t>Lucknow</t>
  </si>
  <si>
    <t>E014</t>
  </si>
  <si>
    <t>Meera Rao</t>
  </si>
  <si>
    <t>Bhopal</t>
  </si>
  <si>
    <t>E015</t>
  </si>
  <si>
    <t>Nikhil Jain</t>
  </si>
  <si>
    <t>Indore</t>
  </si>
  <si>
    <t>VLOOKUPS</t>
  </si>
  <si>
    <t>e005</t>
  </si>
  <si>
    <t>xlookup</t>
  </si>
  <si>
    <t>e007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</si>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</sst>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7B71-E164-4BAB-AC45-7A97B06BD05A}">
  <dimension ref="A1:P24"/>
  <sheetViews>
    <sheetView tabSelected="1" topLeftCell="A6" workbookViewId="0">
      <selection activeCell="I16" sqref="I16"/>
    </sheetView>
  </sheetViews>
  <sheetFormatPr defaultRowHeight="15" x14ac:dyDescent="0.25"/>
  <cols>
    <col min="1" max="1" width="15.5703125" customWidth="1"/>
    <col min="2" max="2" width="16" customWidth="1"/>
    <col min="3" max="3" width="15.5703125" customWidth="1"/>
    <col min="5" max="5" width="7.7109375" customWidth="1"/>
    <col min="8" max="8" width="10.5703125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5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>
        <v>45000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N2" s="4" t="s">
        <v>56</v>
      </c>
    </row>
    <row r="3" spans="1:15" ht="30" x14ac:dyDescent="0.25">
      <c r="A3" s="2" t="s">
        <v>9</v>
      </c>
      <c r="B3" s="2" t="s">
        <v>10</v>
      </c>
      <c r="C3" s="2" t="s">
        <v>11</v>
      </c>
      <c r="D3" s="2" t="s">
        <v>12</v>
      </c>
      <c r="E3" s="2">
        <v>52000</v>
      </c>
      <c r="H3" s="2" t="s">
        <v>13</v>
      </c>
      <c r="I3" s="3" t="str">
        <f>IFERROR(VLOOKUP($H$3,$A$1:$E$16,COLUMNS($H$2:I2),0),"LOL")</f>
        <v>Rahul Verma</v>
      </c>
      <c r="J3" s="3" t="str">
        <f>IFERROR(VLOOKUP($H$3,$A$1:$E$16,COLUMNS($H$2:J2),0),"LOL")</f>
        <v>IT</v>
      </c>
      <c r="K3" s="3" t="str">
        <f>IFERROR(VLOOKUP($H$3,$A$1:$E$16,COLUMNS($H$2:K2),0),"LOL")</f>
        <v>Bengaluru</v>
      </c>
      <c r="L3" s="3">
        <f>IFERROR(VLOOKUP($H$3,$A$1:$E$16,COLUMNS($H$2:L2),0),"LOL")</f>
        <v>68000</v>
      </c>
    </row>
    <row r="4" spans="1:15" ht="3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>
        <v>68000</v>
      </c>
    </row>
    <row r="5" spans="1:15" x14ac:dyDescent="0.25">
      <c r="A5" s="2" t="s">
        <v>17</v>
      </c>
      <c r="B5" s="2" t="s">
        <v>18</v>
      </c>
      <c r="C5" s="2" t="s">
        <v>19</v>
      </c>
      <c r="D5" s="2" t="s">
        <v>20</v>
      </c>
      <c r="E5" s="2">
        <v>50000</v>
      </c>
      <c r="H5" s="2" t="s">
        <v>13</v>
      </c>
      <c r="I5" t="str">
        <f>VLOOKUP($H$5,$A$1:$E$16,COLUMNS($H$2:I2),0)</f>
        <v>Rahul Verma</v>
      </c>
      <c r="J5" t="str">
        <f>VLOOKUP($H$5,$A$1:$E$16,COLUMNS($H$2:J2),0)</f>
        <v>IT</v>
      </c>
      <c r="K5" t="str">
        <f>VLOOKUP($H$5,$A$1:$E$16,COLUMNS($H$2:K2),0)</f>
        <v>Bengaluru</v>
      </c>
      <c r="L5">
        <f>VLOOKUP($H$5,$A$1:$E$16,COLUMNS($H$2:L2),0)</f>
        <v>68000</v>
      </c>
    </row>
    <row r="6" spans="1:15" ht="30" x14ac:dyDescent="0.25">
      <c r="A6" s="2" t="s">
        <v>21</v>
      </c>
      <c r="B6" s="2" t="s">
        <v>22</v>
      </c>
      <c r="C6" s="2" t="s">
        <v>23</v>
      </c>
      <c r="D6" s="2" t="s">
        <v>24</v>
      </c>
      <c r="E6" s="2">
        <v>47000</v>
      </c>
    </row>
    <row r="7" spans="1:15" ht="30" x14ac:dyDescent="0.25">
      <c r="A7" s="2" t="s">
        <v>25</v>
      </c>
      <c r="B7" s="2" t="s">
        <v>26</v>
      </c>
      <c r="C7" s="2" t="s">
        <v>15</v>
      </c>
      <c r="D7" s="2" t="s">
        <v>27</v>
      </c>
      <c r="E7" s="2">
        <v>72000</v>
      </c>
    </row>
    <row r="8" spans="1:15" ht="30" x14ac:dyDescent="0.25">
      <c r="A8" s="2" t="s">
        <v>28</v>
      </c>
      <c r="B8" s="2" t="s">
        <v>29</v>
      </c>
      <c r="C8" s="2" t="s">
        <v>11</v>
      </c>
      <c r="D8" s="2" t="s">
        <v>30</v>
      </c>
      <c r="E8" s="2">
        <v>55000</v>
      </c>
      <c r="H8" s="1" t="s">
        <v>0</v>
      </c>
      <c r="I8" s="1" t="s">
        <v>1</v>
      </c>
      <c r="J8" s="1" t="s">
        <v>2</v>
      </c>
      <c r="K8" s="1" t="s">
        <v>3</v>
      </c>
      <c r="L8" s="1" t="s">
        <v>4</v>
      </c>
      <c r="M8" s="2"/>
      <c r="N8" s="4"/>
      <c r="O8" s="4" t="s">
        <v>58</v>
      </c>
    </row>
    <row r="9" spans="1:15" x14ac:dyDescent="0.25">
      <c r="A9" s="2" t="s">
        <v>31</v>
      </c>
      <c r="B9" s="2" t="s">
        <v>32</v>
      </c>
      <c r="C9" s="2" t="s">
        <v>7</v>
      </c>
      <c r="D9" s="2" t="s">
        <v>33</v>
      </c>
      <c r="E9" s="2">
        <v>46000</v>
      </c>
      <c r="H9" s="2" t="s">
        <v>13</v>
      </c>
      <c r="I9" s="3" t="str" cm="1">
        <f t="array" ref="I9:L9">_xlfn.XLOOKUP(H9,A2:A16,B2:E16,"N A")</f>
        <v>Rahul Verma</v>
      </c>
      <c r="J9" s="3" t="str">
        <v>IT</v>
      </c>
      <c r="K9" s="3" t="str">
        <v>Bengaluru</v>
      </c>
      <c r="L9" s="3">
        <v>68000</v>
      </c>
      <c r="M9" s="3"/>
    </row>
    <row r="10" spans="1:15" ht="30" x14ac:dyDescent="0.25">
      <c r="A10" s="2" t="s">
        <v>34</v>
      </c>
      <c r="B10" s="2" t="s">
        <v>35</v>
      </c>
      <c r="C10" s="2" t="s">
        <v>23</v>
      </c>
      <c r="D10" s="2" t="s">
        <v>36</v>
      </c>
      <c r="E10" s="2">
        <v>49000</v>
      </c>
      <c r="H10" t="s">
        <v>57</v>
      </c>
      <c r="I10" t="str" cm="1">
        <f t="array" ref="I10:L10">_xlfn.XLOOKUP(H10,A2:A16,B2:E16," no ")</f>
        <v>Arjun Mehta</v>
      </c>
      <c r="J10" t="str">
        <v>Sales</v>
      </c>
      <c r="K10" t="str">
        <v>Pune</v>
      </c>
      <c r="L10">
        <v>47000</v>
      </c>
    </row>
    <row r="11" spans="1:15" ht="30" x14ac:dyDescent="0.25">
      <c r="A11" s="2" t="s">
        <v>37</v>
      </c>
      <c r="B11" s="2" t="s">
        <v>38</v>
      </c>
      <c r="C11" s="2" t="s">
        <v>19</v>
      </c>
      <c r="D11" s="2" t="s">
        <v>39</v>
      </c>
      <c r="E11" s="2">
        <v>53000</v>
      </c>
      <c r="H11" t="s">
        <v>21</v>
      </c>
      <c r="I11" t="str" cm="1">
        <f t="array" ref="I11:L11">_xlfn.XLOOKUP(H11,A2:A16,B2:E16,"NO DATA")</f>
        <v>Arjun Mehta</v>
      </c>
      <c r="J11" t="str">
        <v>Sales</v>
      </c>
      <c r="K11" t="str">
        <v>Pune</v>
      </c>
      <c r="L11">
        <v>47000</v>
      </c>
    </row>
    <row r="12" spans="1:15" ht="30" x14ac:dyDescent="0.25">
      <c r="A12" s="2" t="s">
        <v>40</v>
      </c>
      <c r="B12" s="2" t="s">
        <v>41</v>
      </c>
      <c r="C12" s="2" t="s">
        <v>15</v>
      </c>
      <c r="D12" s="2" t="s">
        <v>42</v>
      </c>
      <c r="E12" s="2">
        <v>75000</v>
      </c>
    </row>
    <row r="13" spans="1:15" ht="30" x14ac:dyDescent="0.25">
      <c r="A13" s="2" t="s">
        <v>43</v>
      </c>
      <c r="B13" s="2" t="s">
        <v>44</v>
      </c>
      <c r="C13" s="2" t="s">
        <v>11</v>
      </c>
      <c r="D13" s="2" t="s">
        <v>45</v>
      </c>
      <c r="E13" s="2">
        <v>58000</v>
      </c>
    </row>
    <row r="14" spans="1:15" ht="30" x14ac:dyDescent="0.25">
      <c r="A14" s="2" t="s">
        <v>46</v>
      </c>
      <c r="B14" s="2" t="s">
        <v>47</v>
      </c>
      <c r="C14" s="2" t="s">
        <v>48</v>
      </c>
      <c r="D14" s="2" t="s">
        <v>49</v>
      </c>
      <c r="E14" s="2">
        <v>51000</v>
      </c>
      <c r="H14" s="1" t="s">
        <v>0</v>
      </c>
      <c r="I14" s="1" t="s">
        <v>1</v>
      </c>
      <c r="J14" s="1" t="s">
        <v>2</v>
      </c>
      <c r="K14" s="1" t="s">
        <v>3</v>
      </c>
      <c r="L14" s="1" t="s">
        <v>4</v>
      </c>
    </row>
    <row r="15" spans="1:15" ht="30" x14ac:dyDescent="0.25">
      <c r="A15" s="2" t="s">
        <v>50</v>
      </c>
      <c r="B15" s="2" t="s">
        <v>51</v>
      </c>
      <c r="C15" s="2" t="s">
        <v>48</v>
      </c>
      <c r="D15" s="2" t="s">
        <v>52</v>
      </c>
      <c r="E15" s="2">
        <v>54000</v>
      </c>
      <c r="H15" t="s">
        <v>59</v>
      </c>
      <c r="I15" t="str" cm="1">
        <f t="array" ref="I15:L15">_xlfn.XLOOKUP(H15,A2:A16,B2:E16,"Invalid")</f>
        <v>Karan Shah</v>
      </c>
      <c r="J15" t="str">
        <v>Finance</v>
      </c>
      <c r="K15" t="str">
        <v>Surat</v>
      </c>
      <c r="L15">
        <v>55000</v>
      </c>
    </row>
    <row r="16" spans="1:15" ht="30" x14ac:dyDescent="0.25">
      <c r="A16" s="2" t="s">
        <v>53</v>
      </c>
      <c r="B16" s="2" t="s">
        <v>54</v>
      </c>
      <c r="C16" s="2" t="s">
        <v>23</v>
      </c>
      <c r="D16" s="2" t="s">
        <v>55</v>
      </c>
      <c r="E16" s="2">
        <v>50000</v>
      </c>
      <c r="I16" t="s">
        <v>60</v>
      </c>
    </row>
    <row r="20" spans="1:16" x14ac:dyDescent="0.25">
      <c r="A20" s="1" t="s">
        <v>0</v>
      </c>
      <c r="B20" s="2" t="s">
        <v>5</v>
      </c>
      <c r="C20" s="2" t="s">
        <v>9</v>
      </c>
      <c r="D20" s="2" t="s">
        <v>13</v>
      </c>
      <c r="E20" s="2" t="s">
        <v>17</v>
      </c>
      <c r="F20" s="2" t="s">
        <v>21</v>
      </c>
      <c r="G20" s="2" t="s">
        <v>25</v>
      </c>
      <c r="H20" s="2" t="s">
        <v>28</v>
      </c>
      <c r="I20" s="2" t="s">
        <v>31</v>
      </c>
      <c r="J20" s="2" t="s">
        <v>34</v>
      </c>
      <c r="K20" s="2" t="s">
        <v>37</v>
      </c>
      <c r="L20" s="2" t="s">
        <v>40</v>
      </c>
      <c r="M20" s="2" t="s">
        <v>43</v>
      </c>
      <c r="N20" s="2" t="s">
        <v>46</v>
      </c>
      <c r="O20" s="2" t="s">
        <v>50</v>
      </c>
      <c r="P20" s="2" t="s">
        <v>53</v>
      </c>
    </row>
    <row r="21" spans="1:16" ht="30" x14ac:dyDescent="0.25">
      <c r="A21" s="1" t="s">
        <v>1</v>
      </c>
      <c r="B21" s="2" t="s">
        <v>6</v>
      </c>
      <c r="C21" s="2" t="s">
        <v>10</v>
      </c>
      <c r="D21" s="2" t="s">
        <v>14</v>
      </c>
      <c r="E21" s="2" t="s">
        <v>18</v>
      </c>
      <c r="F21" s="2" t="s">
        <v>22</v>
      </c>
      <c r="G21" s="2" t="s">
        <v>26</v>
      </c>
      <c r="H21" s="2" t="s">
        <v>29</v>
      </c>
      <c r="I21" s="2" t="s">
        <v>32</v>
      </c>
      <c r="J21" s="2" t="s">
        <v>35</v>
      </c>
      <c r="K21" s="2" t="s">
        <v>38</v>
      </c>
      <c r="L21" s="2" t="s">
        <v>41</v>
      </c>
      <c r="M21" s="2" t="s">
        <v>44</v>
      </c>
      <c r="N21" s="2" t="s">
        <v>47</v>
      </c>
      <c r="O21" s="2" t="s">
        <v>51</v>
      </c>
      <c r="P21" s="2" t="s">
        <v>54</v>
      </c>
    </row>
    <row r="22" spans="1:16" ht="30" x14ac:dyDescent="0.25">
      <c r="A22" s="1" t="s">
        <v>2</v>
      </c>
      <c r="B22" s="2" t="s">
        <v>7</v>
      </c>
      <c r="C22" s="2" t="s">
        <v>11</v>
      </c>
      <c r="D22" s="2" t="s">
        <v>15</v>
      </c>
      <c r="E22" s="2" t="s">
        <v>19</v>
      </c>
      <c r="F22" s="2" t="s">
        <v>23</v>
      </c>
      <c r="G22" s="2" t="s">
        <v>15</v>
      </c>
      <c r="H22" s="2" t="s">
        <v>11</v>
      </c>
      <c r="I22" s="2" t="s">
        <v>7</v>
      </c>
      <c r="J22" s="2" t="s">
        <v>23</v>
      </c>
      <c r="K22" s="2" t="s">
        <v>19</v>
      </c>
      <c r="L22" s="2" t="s">
        <v>15</v>
      </c>
      <c r="M22" s="2" t="s">
        <v>11</v>
      </c>
      <c r="N22" s="2" t="s">
        <v>48</v>
      </c>
      <c r="O22" s="2" t="s">
        <v>48</v>
      </c>
      <c r="P22" s="2" t="s">
        <v>23</v>
      </c>
    </row>
    <row r="23" spans="1:16" ht="30" x14ac:dyDescent="0.25">
      <c r="A23" s="1" t="s">
        <v>3</v>
      </c>
      <c r="B23" s="2" t="s">
        <v>8</v>
      </c>
      <c r="C23" s="2" t="s">
        <v>12</v>
      </c>
      <c r="D23" s="2" t="s">
        <v>16</v>
      </c>
      <c r="E23" s="2" t="s">
        <v>20</v>
      </c>
      <c r="F23" s="2" t="s">
        <v>24</v>
      </c>
      <c r="G23" s="2" t="s">
        <v>27</v>
      </c>
      <c r="H23" s="2" t="s">
        <v>30</v>
      </c>
      <c r="I23" s="2" t="s">
        <v>33</v>
      </c>
      <c r="J23" s="2" t="s">
        <v>36</v>
      </c>
      <c r="K23" s="2" t="s">
        <v>39</v>
      </c>
      <c r="L23" s="2" t="s">
        <v>42</v>
      </c>
      <c r="M23" s="2" t="s">
        <v>45</v>
      </c>
      <c r="N23" s="2" t="s">
        <v>49</v>
      </c>
      <c r="O23" s="2" t="s">
        <v>52</v>
      </c>
      <c r="P23" s="2" t="s">
        <v>55</v>
      </c>
    </row>
    <row r="24" spans="1:16" x14ac:dyDescent="0.25">
      <c r="A24" s="1" t="s">
        <v>4</v>
      </c>
      <c r="B24" s="2">
        <v>45000</v>
      </c>
      <c r="C24" s="2">
        <v>52000</v>
      </c>
      <c r="D24" s="2">
        <v>68000</v>
      </c>
      <c r="E24" s="2">
        <v>50000</v>
      </c>
      <c r="F24" s="2">
        <v>47000</v>
      </c>
      <c r="G24" s="2">
        <v>72000</v>
      </c>
      <c r="H24" s="2">
        <v>55000</v>
      </c>
      <c r="I24" s="2">
        <v>46000</v>
      </c>
      <c r="J24" s="2">
        <v>49000</v>
      </c>
      <c r="K24" s="2">
        <v>53000</v>
      </c>
      <c r="L24" s="2">
        <v>75000</v>
      </c>
      <c r="M24" s="2">
        <v>58000</v>
      </c>
      <c r="N24" s="2">
        <v>51000</v>
      </c>
      <c r="O24" s="2">
        <v>54000</v>
      </c>
      <c r="P24" s="2">
        <v>50000</v>
      </c>
    </row>
  </sheetData>
  <dataValidations disablePrompts="1" count="1">
    <dataValidation type="list" allowBlank="1" showInputMessage="1" showErrorMessage="1" sqref="H3" xr:uid="{F8A9690E-104C-4F34-B490-6708D8CE967C}">
      <formula1>$A$2:$A$16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ASDC128</dc:creator>
  <cp:lastModifiedBy>ASDC128</cp:lastModifiedBy>
  <dcterms:created xsi:type="dcterms:W3CDTF">2026-07-11T07:53:50Z</dcterms:created>
  <dcterms:modified xsi:type="dcterms:W3CDTF">2026-07-11T09:54:29Z</dcterms:modified>
</cp:coreProperties>
</file>