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12264067-9333-48AB-849B-8EF8E22211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okup Functions - VLOOK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0" i="1" l="1"/>
  <c r="L16" i="1"/>
  <c r="L12" i="1"/>
  <c r="L8" i="1"/>
  <c r="L4" i="1"/>
</calcChain>
</file>

<file path=xl/sharedStrings.xml><?xml version="1.0" encoding="utf-8"?>
<sst xmlns="http://schemas.openxmlformats.org/spreadsheetml/2006/main" count="127" uniqueCount="79">
  <si>
    <t>Lookup Functions Practice (VLOOKUP, HLOOKUP, XLOOKUP)</t>
  </si>
  <si>
    <t>EmployeeID</t>
  </si>
  <si>
    <t>Name</t>
  </si>
  <si>
    <t>Department</t>
  </si>
  <si>
    <t>Location</t>
  </si>
  <si>
    <t>Salary</t>
  </si>
  <si>
    <t>JoiningYear</t>
  </si>
  <si>
    <t>VLOOKUP Tasks (1–6)</t>
  </si>
  <si>
    <r>
      <t>Find the </t>
    </r>
    <r>
      <rPr>
        <sz val="12"/>
        <color theme="1"/>
        <rFont val="Mona Sans VF"/>
        <charset val="1"/>
      </rPr>
      <t>Name</t>
    </r>
    <r>
      <rPr>
        <sz val="12"/>
        <color theme="1"/>
        <rFont val="Mona Sans VF"/>
        <charset val="1"/>
      </rPr>
      <t> of employee using </t>
    </r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</si>
  <si>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</si>
  <si>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</si>
  <si>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</si>
  <si>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</si>
  <si>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</si>
  <si>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</si>
  <si>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</si>
  <si>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</si>
  <si>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E114</t>
  </si>
  <si>
    <t>E103</t>
  </si>
  <si>
    <t>Rohit Verma</t>
  </si>
  <si>
    <t>IT</t>
  </si>
  <si>
    <t>Bangalore</t>
  </si>
  <si>
    <t> from </t>
  </si>
  <si>
    <t>E104</t>
  </si>
  <si>
    <t>Neha Singh</t>
  </si>
  <si>
    <t>Finance</t>
  </si>
  <si>
    <t>Pune</t>
  </si>
  <si>
    <t>Search_Input</t>
  </si>
  <si>
    <r>
      <t>Find the </t>
    </r>
    <r>
      <rPr>
        <sz val="12"/>
        <color theme="1"/>
        <rFont val="Mona Sans VF"/>
        <charset val="1"/>
      </rPr>
      <t>Department</t>
    </r>
    <r>
      <rPr>
        <sz val="12"/>
        <color theme="1"/>
        <rFont val="Mona Sans VF"/>
        <charset val="1"/>
      </rPr>
      <t> of employee with ID </t>
    </r>
    <r>
      <rPr>
        <sz val="12"/>
        <color theme="1"/>
        <rFont val="Mona Sans VF"/>
        <charset val="1"/>
      </rPr>
      <t>E103</t>
    </r>
    <r>
      <rPr>
        <sz val="12"/>
        <color theme="1"/>
        <rFont val="Mona Sans VF"/>
        <charset val="1"/>
      </rPr>
      <t>.</t>
    </r>
  </si>
  <si>
    <t>E105</t>
  </si>
  <si>
    <t>Aman Kumar</t>
  </si>
  <si>
    <t>Marketing</t>
  </si>
  <si>
    <t>.</t>
  </si>
  <si>
    <t>E106</t>
  </si>
  <si>
    <t>Pooja Mehta</t>
  </si>
  <si>
    <t>Chennai</t>
  </si>
  <si>
    <t>E107</t>
  </si>
  <si>
    <t>Suresh Rao</t>
  </si>
  <si>
    <t>Hyderabad</t>
  </si>
  <si>
    <r>
      <t>Find the </t>
    </r>
    <r>
      <rPr>
        <sz val="12"/>
        <color theme="1"/>
        <rFont val="Mona Sans VF"/>
        <charset val="1"/>
      </rPr>
      <t>Salary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Neha Singh</t>
    </r>
    <r>
      <rPr>
        <sz val="12"/>
        <color theme="1"/>
        <rFont val="Mona Sans VF"/>
        <charset val="1"/>
      </rPr>
      <t> using VLOOKUP.</t>
    </r>
  </si>
  <si>
    <t>E108</t>
  </si>
  <si>
    <t>Kavita Iyer</t>
  </si>
  <si>
    <r>
      <t>Get the </t>
    </r>
    <r>
      <rPr>
        <sz val="12"/>
        <color theme="1"/>
        <rFont val="Mona Sans VF"/>
        <charset val="1"/>
      </rPr>
      <t>Location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E107</t>
    </r>
    <r>
      <rPr>
        <sz val="12"/>
        <color theme="1"/>
        <rFont val="Mona Sans VF"/>
        <charset val="1"/>
      </rPr>
      <t>.</t>
    </r>
  </si>
  <si>
    <t>E109</t>
  </si>
  <si>
    <t>Vivek Patel</t>
  </si>
  <si>
    <t>Ahmedabad</t>
  </si>
  <si>
    <t>If </t>
  </si>
  <si>
    <t>E110</t>
  </si>
  <si>
    <t>Sneha Joshi</t>
  </si>
  <si>
    <t>E111</t>
  </si>
  <si>
    <t>Arjun Nair</t>
  </si>
  <si>
    <t>Kochi</t>
  </si>
  <si>
    <r>
      <t> is not found, display </t>
    </r>
    <r>
      <rPr>
        <sz val="12"/>
        <color theme="1"/>
        <rFont val="Mona Sans VF"/>
        <charset val="1"/>
      </rPr>
      <t>"Not Found"</t>
    </r>
    <r>
      <rPr>
        <sz val="12"/>
        <color theme="1"/>
        <rFont val="Mona Sans VF"/>
        <charset val="1"/>
      </rPr>
      <t>.</t>
    </r>
  </si>
  <si>
    <t>E112</t>
  </si>
  <si>
    <t>Meera Kapoor</t>
  </si>
  <si>
    <t>Jaipur</t>
  </si>
  <si>
    <r>
      <t>Find the </t>
    </r>
    <r>
      <rPr>
        <sz val="12"/>
        <color theme="1"/>
        <rFont val="Mona Sans VF"/>
        <charset val="1"/>
      </rPr>
      <t>JoiningYear</t>
    </r>
    <r>
      <rPr>
        <sz val="12"/>
        <color theme="1"/>
        <rFont val="Mona Sans VF"/>
        <charset val="1"/>
      </rPr>
      <t> of employee </t>
    </r>
    <r>
      <rPr>
        <sz val="12"/>
        <color theme="1"/>
        <rFont val="Mona Sans VF"/>
        <charset val="1"/>
      </rPr>
      <t>E101</t>
    </r>
    <r>
      <rPr>
        <sz val="12"/>
        <color theme="1"/>
        <rFont val="Mona Sans VF"/>
        <charset val="1"/>
      </rPr>
      <t>.</t>
    </r>
  </si>
  <si>
    <t>E113</t>
  </si>
  <si>
    <t>Karan Malhotra</t>
  </si>
  <si>
    <t>Priya Desai</t>
  </si>
  <si>
    <t>Surat</t>
  </si>
  <si>
    <t>E115</t>
  </si>
  <si>
    <t>Nikhil Shah</t>
  </si>
  <si>
    <t>E116</t>
  </si>
  <si>
    <t>Ritu Sharma</t>
  </si>
  <si>
    <t>Noida</t>
  </si>
  <si>
    <t>E117</t>
  </si>
  <si>
    <t>Deepak Yadav</t>
  </si>
  <si>
    <t>Lucknow</t>
  </si>
  <si>
    <t>E118</t>
  </si>
  <si>
    <t>Shreya Bose</t>
  </si>
  <si>
    <t>Kolkata</t>
  </si>
  <si>
    <t>E119</t>
  </si>
  <si>
    <t>Manish Jain</t>
  </si>
  <si>
    <t>Indore</t>
  </si>
  <si>
    <t>E120</t>
  </si>
  <si>
    <t>Aditi Kulkarni</t>
  </si>
  <si>
    <t>Nagpur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</si>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</sst>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Mona Sans VF"/>
      <charset val="1"/>
    </font>
    <font>
      <sz val="12"/>
      <color theme="1"/>
      <name val="Mona Sans VF"/>
      <charset val="1"/>
    </font>
    <font>
      <sz val="10"/>
      <color theme="1"/>
      <name val="Monaspace Neon"/>
      <charset val="1"/>
    </font>
    <font>
      <sz val="14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8" xfId="0" applyNumberFormat="1" applyBorder="1"/>
    <xf numFmtId="9" fontId="0" fillId="0" borderId="9" xfId="0" applyNumberForma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4" borderId="1" xfId="0" applyFont="1" applyFill="1" applyBorder="1" applyAlignment="1"/>
    <xf numFmtId="0" fontId="3" fillId="4" borderId="1" xfId="0" applyFont="1" applyFill="1" applyBorder="1" applyAlignment="1"/>
    <xf numFmtId="0" fontId="5" fillId="4" borderId="1" xfId="0" applyFont="1" applyFill="1" applyBorder="1" applyAlignment="1"/>
    <xf numFmtId="0" fontId="1" fillId="3" borderId="1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13" xfId="0" applyFont="1" applyFill="1" applyBorder="1"/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B1" workbookViewId="0">
      <selection activeCell="K18" sqref="K18:L20"/>
    </sheetView>
  </sheetViews>
  <sheetFormatPr defaultRowHeight="15"/>
  <cols>
    <col min="1" max="1" width="12.7109375" customWidth="1"/>
    <col min="2" max="2" width="16.42578125" customWidth="1"/>
    <col min="3" max="3" width="16" customWidth="1"/>
    <col min="4" max="4" width="11.28515625" customWidth="1"/>
    <col min="5" max="6" width="12" customWidth="1"/>
    <col min="8" max="8" width="13.140625" customWidth="1"/>
    <col min="9" max="9" width="61.140625" customWidth="1"/>
    <col min="11" max="11" width="28.85546875" customWidth="1"/>
    <col min="12" max="12" width="28.140625" customWidth="1"/>
    <col min="13" max="13" width="10.7109375" customWidth="1"/>
  </cols>
  <sheetData>
    <row r="1" spans="1:12" ht="21">
      <c r="A1" s="3" t="s">
        <v>0</v>
      </c>
      <c r="B1" s="4"/>
      <c r="C1" s="4"/>
      <c r="D1" s="4"/>
      <c r="E1" s="4"/>
      <c r="F1" s="5"/>
    </row>
    <row r="2" spans="1:12" ht="18">
      <c r="A2" s="6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6</v>
      </c>
      <c r="H2" s="27" t="s">
        <v>7</v>
      </c>
      <c r="I2" s="28"/>
      <c r="K2" s="25" t="s">
        <v>8</v>
      </c>
      <c r="L2" s="26"/>
    </row>
    <row r="3" spans="1:12" ht="15.75">
      <c r="A3" s="8" t="s">
        <v>9</v>
      </c>
      <c r="B3" s="2" t="s">
        <v>10</v>
      </c>
      <c r="C3" s="2" t="s">
        <v>11</v>
      </c>
      <c r="D3" s="2" t="s">
        <v>12</v>
      </c>
      <c r="E3" s="2">
        <v>45000</v>
      </c>
      <c r="F3" s="9">
        <v>2019</v>
      </c>
      <c r="H3" s="19">
        <v>1</v>
      </c>
      <c r="I3" s="19" t="s">
        <v>8</v>
      </c>
      <c r="K3" s="21" t="s">
        <v>1</v>
      </c>
      <c r="L3" s="24" t="s">
        <v>2</v>
      </c>
    </row>
    <row r="4" spans="1:12">
      <c r="A4" s="8" t="s">
        <v>13</v>
      </c>
      <c r="B4" s="2" t="s">
        <v>14</v>
      </c>
      <c r="C4" s="2" t="s">
        <v>15</v>
      </c>
      <c r="D4" s="2" t="s">
        <v>16</v>
      </c>
      <c r="E4" s="2">
        <v>52000</v>
      </c>
      <c r="F4" s="9">
        <v>2018</v>
      </c>
      <c r="H4" s="18"/>
      <c r="I4" s="20" t="s">
        <v>1</v>
      </c>
      <c r="K4" s="10" t="s">
        <v>17</v>
      </c>
      <c r="L4" s="12" t="str">
        <f>VLOOKUP(K4,A3:F22,2,TRUE)</f>
        <v>Priya Desai</v>
      </c>
    </row>
    <row r="5" spans="1:12" ht="15.75">
      <c r="A5" s="8" t="s">
        <v>18</v>
      </c>
      <c r="B5" s="2" t="s">
        <v>19</v>
      </c>
      <c r="C5" s="2" t="s">
        <v>20</v>
      </c>
      <c r="D5" s="2" t="s">
        <v>21</v>
      </c>
      <c r="E5" s="2">
        <v>65000</v>
      </c>
      <c r="F5" s="9">
        <v>2020</v>
      </c>
      <c r="H5" s="18"/>
      <c r="I5" s="19" t="s">
        <v>22</v>
      </c>
    </row>
    <row r="6" spans="1:12" ht="15.75">
      <c r="A6" s="8" t="s">
        <v>23</v>
      </c>
      <c r="B6" s="2" t="s">
        <v>24</v>
      </c>
      <c r="C6" s="2" t="s">
        <v>25</v>
      </c>
      <c r="D6" s="2" t="s">
        <v>26</v>
      </c>
      <c r="E6" s="2">
        <v>58000</v>
      </c>
      <c r="F6" s="9">
        <v>2017</v>
      </c>
      <c r="H6" s="18"/>
      <c r="I6" s="20" t="s">
        <v>27</v>
      </c>
      <c r="K6" s="25" t="s">
        <v>28</v>
      </c>
      <c r="L6" s="26"/>
    </row>
    <row r="7" spans="1:12" ht="15.75">
      <c r="A7" s="8" t="s">
        <v>29</v>
      </c>
      <c r="B7" s="2" t="s">
        <v>30</v>
      </c>
      <c r="C7" s="2" t="s">
        <v>31</v>
      </c>
      <c r="D7" s="2" t="s">
        <v>12</v>
      </c>
      <c r="E7" s="2">
        <v>48000</v>
      </c>
      <c r="F7" s="9">
        <v>2021</v>
      </c>
      <c r="H7" s="18"/>
      <c r="I7" s="19" t="s">
        <v>32</v>
      </c>
      <c r="K7" s="6" t="s">
        <v>1</v>
      </c>
      <c r="L7" s="7" t="s">
        <v>3</v>
      </c>
    </row>
    <row r="8" spans="1:12" ht="15.75">
      <c r="A8" s="8" t="s">
        <v>33</v>
      </c>
      <c r="B8" s="2" t="s">
        <v>34</v>
      </c>
      <c r="C8" s="2" t="s">
        <v>20</v>
      </c>
      <c r="D8" s="2" t="s">
        <v>35</v>
      </c>
      <c r="E8" s="2">
        <v>62000</v>
      </c>
      <c r="F8" s="9">
        <v>2019</v>
      </c>
      <c r="H8" s="19">
        <v>2</v>
      </c>
      <c r="I8" s="19" t="s">
        <v>28</v>
      </c>
      <c r="K8" s="10" t="s">
        <v>18</v>
      </c>
      <c r="L8" s="12" t="str">
        <f>VLOOKUP(K8,A3:F22,3,TRUE)</f>
        <v>IT</v>
      </c>
    </row>
    <row r="9" spans="1:12" ht="15.75">
      <c r="A9" s="8" t="s">
        <v>36</v>
      </c>
      <c r="B9" s="2" t="s">
        <v>37</v>
      </c>
      <c r="C9" s="2" t="s">
        <v>11</v>
      </c>
      <c r="D9" s="2" t="s">
        <v>38</v>
      </c>
      <c r="E9" s="2">
        <v>47000</v>
      </c>
      <c r="F9" s="9">
        <v>2020</v>
      </c>
      <c r="H9" s="19">
        <v>3</v>
      </c>
      <c r="I9" s="19" t="s">
        <v>39</v>
      </c>
    </row>
    <row r="10" spans="1:12" ht="15.75">
      <c r="A10" s="8" t="s">
        <v>40</v>
      </c>
      <c r="B10" s="2" t="s">
        <v>41</v>
      </c>
      <c r="C10" s="2" t="s">
        <v>15</v>
      </c>
      <c r="D10" s="2" t="s">
        <v>21</v>
      </c>
      <c r="E10" s="2">
        <v>54000</v>
      </c>
      <c r="F10" s="9">
        <v>2016</v>
      </c>
      <c r="H10" s="19">
        <v>4</v>
      </c>
      <c r="I10" s="19" t="s">
        <v>42</v>
      </c>
      <c r="K10" s="25" t="s">
        <v>39</v>
      </c>
      <c r="L10" s="26"/>
    </row>
    <row r="11" spans="1:12" ht="15.75">
      <c r="A11" s="8" t="s">
        <v>43</v>
      </c>
      <c r="B11" s="2" t="s">
        <v>44</v>
      </c>
      <c r="C11" s="2" t="s">
        <v>25</v>
      </c>
      <c r="D11" s="2" t="s">
        <v>45</v>
      </c>
      <c r="E11" s="2">
        <v>61000</v>
      </c>
      <c r="F11" s="9">
        <v>2018</v>
      </c>
      <c r="H11" s="19">
        <v>5</v>
      </c>
      <c r="I11" s="19" t="s">
        <v>46</v>
      </c>
      <c r="K11" s="6" t="s">
        <v>2</v>
      </c>
      <c r="L11" s="7" t="s">
        <v>5</v>
      </c>
    </row>
    <row r="12" spans="1:12">
      <c r="A12" s="8" t="s">
        <v>47</v>
      </c>
      <c r="B12" s="2" t="s">
        <v>48</v>
      </c>
      <c r="C12" s="2" t="s">
        <v>31</v>
      </c>
      <c r="D12" s="2" t="s">
        <v>26</v>
      </c>
      <c r="E12" s="2">
        <v>50000</v>
      </c>
      <c r="F12" s="9">
        <v>2022</v>
      </c>
      <c r="H12" s="18"/>
      <c r="I12" s="20" t="s">
        <v>1</v>
      </c>
      <c r="K12" s="10" t="s">
        <v>24</v>
      </c>
      <c r="L12" s="12">
        <f>VLOOKUP(K12,B3:F22,4,TRUE)</f>
        <v>48000</v>
      </c>
    </row>
    <row r="13" spans="1:12" ht="15.75">
      <c r="A13" s="8" t="s">
        <v>49</v>
      </c>
      <c r="B13" s="2" t="s">
        <v>50</v>
      </c>
      <c r="C13" s="2" t="s">
        <v>20</v>
      </c>
      <c r="D13" s="2" t="s">
        <v>51</v>
      </c>
      <c r="E13" s="2">
        <v>70000</v>
      </c>
      <c r="F13" s="9">
        <v>2017</v>
      </c>
      <c r="H13" s="18"/>
      <c r="I13" s="19" t="s">
        <v>52</v>
      </c>
    </row>
    <row r="14" spans="1:12" ht="15.75">
      <c r="A14" s="8" t="s">
        <v>53</v>
      </c>
      <c r="B14" s="2" t="s">
        <v>54</v>
      </c>
      <c r="C14" s="2" t="s">
        <v>15</v>
      </c>
      <c r="D14" s="2" t="s">
        <v>55</v>
      </c>
      <c r="E14" s="2">
        <v>51000</v>
      </c>
      <c r="F14" s="9">
        <v>2019</v>
      </c>
      <c r="H14" s="19">
        <v>6</v>
      </c>
      <c r="I14" s="19" t="s">
        <v>56</v>
      </c>
      <c r="K14" s="25" t="s">
        <v>42</v>
      </c>
      <c r="L14" s="26"/>
    </row>
    <row r="15" spans="1:12">
      <c r="A15" s="8" t="s">
        <v>57</v>
      </c>
      <c r="B15" s="2" t="s">
        <v>58</v>
      </c>
      <c r="C15" s="2" t="s">
        <v>11</v>
      </c>
      <c r="D15" s="2" t="s">
        <v>16</v>
      </c>
      <c r="E15" s="2">
        <v>46000</v>
      </c>
      <c r="F15" s="9">
        <v>2021</v>
      </c>
      <c r="K15" s="6" t="s">
        <v>1</v>
      </c>
      <c r="L15" s="7" t="s">
        <v>4</v>
      </c>
    </row>
    <row r="16" spans="1:12">
      <c r="A16" s="8" t="s">
        <v>17</v>
      </c>
      <c r="B16" s="2" t="s">
        <v>59</v>
      </c>
      <c r="C16" s="2" t="s">
        <v>25</v>
      </c>
      <c r="D16" s="2" t="s">
        <v>60</v>
      </c>
      <c r="E16" s="2">
        <v>59000</v>
      </c>
      <c r="F16" s="9">
        <v>2018</v>
      </c>
      <c r="K16" s="10" t="s">
        <v>36</v>
      </c>
      <c r="L16" s="12" t="str">
        <f>VLOOKUP(K16,A3:F22,4,TRUE)</f>
        <v>Hyderabad</v>
      </c>
    </row>
    <row r="17" spans="1:12">
      <c r="A17" s="8" t="s">
        <v>61</v>
      </c>
      <c r="B17" s="2" t="s">
        <v>62</v>
      </c>
      <c r="C17" s="2" t="s">
        <v>31</v>
      </c>
      <c r="D17" s="2" t="s">
        <v>45</v>
      </c>
      <c r="E17" s="2">
        <v>53000</v>
      </c>
      <c r="F17" s="9">
        <v>2020</v>
      </c>
    </row>
    <row r="18" spans="1:12" ht="15.75">
      <c r="A18" s="8" t="s">
        <v>63</v>
      </c>
      <c r="B18" s="2" t="s">
        <v>64</v>
      </c>
      <c r="C18" s="2" t="s">
        <v>20</v>
      </c>
      <c r="D18" s="2" t="s">
        <v>65</v>
      </c>
      <c r="E18" s="2">
        <v>68000</v>
      </c>
      <c r="F18" s="9">
        <v>2016</v>
      </c>
      <c r="K18" s="22" t="s">
        <v>56</v>
      </c>
      <c r="L18" s="23"/>
    </row>
    <row r="19" spans="1:12">
      <c r="A19" s="8" t="s">
        <v>66</v>
      </c>
      <c r="B19" s="2" t="s">
        <v>67</v>
      </c>
      <c r="C19" s="2" t="s">
        <v>11</v>
      </c>
      <c r="D19" s="2" t="s">
        <v>68</v>
      </c>
      <c r="E19" s="2">
        <v>44000</v>
      </c>
      <c r="F19" s="9">
        <v>2022</v>
      </c>
      <c r="K19" s="6" t="s">
        <v>1</v>
      </c>
      <c r="L19" s="7" t="s">
        <v>6</v>
      </c>
    </row>
    <row r="20" spans="1:12">
      <c r="A20" s="8" t="s">
        <v>69</v>
      </c>
      <c r="B20" s="2" t="s">
        <v>70</v>
      </c>
      <c r="C20" s="2" t="s">
        <v>15</v>
      </c>
      <c r="D20" s="2" t="s">
        <v>71</v>
      </c>
      <c r="E20" s="2">
        <v>56000</v>
      </c>
      <c r="F20" s="9">
        <v>2017</v>
      </c>
      <c r="K20" s="10" t="s">
        <v>9</v>
      </c>
      <c r="L20" s="12">
        <f>VLOOKUP(K20,A3:F22,6,TRUE)</f>
        <v>2019</v>
      </c>
    </row>
    <row r="21" spans="1:12">
      <c r="A21" s="8" t="s">
        <v>72</v>
      </c>
      <c r="B21" s="2" t="s">
        <v>73</v>
      </c>
      <c r="C21" s="2" t="s">
        <v>25</v>
      </c>
      <c r="D21" s="2" t="s">
        <v>74</v>
      </c>
      <c r="E21" s="2">
        <v>60000</v>
      </c>
      <c r="F21" s="9">
        <v>2019</v>
      </c>
    </row>
    <row r="22" spans="1:12">
      <c r="A22" s="10" t="s">
        <v>75</v>
      </c>
      <c r="B22" s="11" t="s">
        <v>76</v>
      </c>
      <c r="C22" s="11" t="s">
        <v>31</v>
      </c>
      <c r="D22" s="11" t="s">
        <v>77</v>
      </c>
      <c r="E22" s="11">
        <v>49000</v>
      </c>
      <c r="F22" s="12">
        <v>2021</v>
      </c>
    </row>
    <row r="25" spans="1:12">
      <c r="A25" s="15" t="s">
        <v>3</v>
      </c>
      <c r="B25" s="16" t="s">
        <v>11</v>
      </c>
      <c r="C25" s="16" t="s">
        <v>15</v>
      </c>
      <c r="D25" s="16" t="s">
        <v>20</v>
      </c>
      <c r="E25" s="16" t="s">
        <v>25</v>
      </c>
      <c r="F25" s="17" t="s">
        <v>31</v>
      </c>
    </row>
    <row r="26" spans="1:12">
      <c r="A26" s="10" t="s">
        <v>78</v>
      </c>
      <c r="B26" s="13">
        <v>0.1</v>
      </c>
      <c r="C26" s="13">
        <v>0.08</v>
      </c>
      <c r="D26" s="13">
        <v>0.12</v>
      </c>
      <c r="E26" s="13">
        <v>0.15</v>
      </c>
      <c r="F26" s="14">
        <v>0.09</v>
      </c>
    </row>
  </sheetData>
  <mergeCells count="7">
    <mergeCell ref="K18:L18"/>
    <mergeCell ref="K2:L2"/>
    <mergeCell ref="K6:L6"/>
    <mergeCell ref="K10:L10"/>
    <mergeCell ref="K14:L14"/>
    <mergeCell ref="A1:F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2026-07-27T07:47:28Z</dcterms:created>
  <dcterms:modified xsi:type="dcterms:W3CDTF">2026-07-27T08:24:31Z</dcterms:modified>
  <cp:category/>
  <cp:contentStatus/>
</cp:coreProperties>
</file>